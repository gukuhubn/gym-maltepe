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codeName="BuÇalışmaKitabı"/>
  <xr:revisionPtr revIDLastSave="608" documentId="8_{496CE12C-FBD4-411A-959D-A4FDD6856C71}" xr6:coauthVersionLast="47" xr6:coauthVersionMax="47" xr10:uidLastSave="{6C1FDD26-43F5-4D3D-B070-955DCCCE9043}"/>
  <bookViews>
    <workbookView xWindow="-108" yWindow="-108" windowWidth="23256" windowHeight="12576" xr2:uid="{00000000-000D-0000-FFFF-FFFF00000000}"/>
  </bookViews>
  <sheets>
    <sheet name="." sheetId="11" r:id="rId1"/>
  </sheets>
  <externalReferences>
    <externalReference r:id="rId2"/>
    <externalReference r:id="rId3"/>
    <externalReference r:id="rId4"/>
    <externalReference r:id="rId5"/>
  </externalReferences>
  <definedNames>
    <definedName name="AA" localSheetId="0">#REF!</definedName>
    <definedName name="AA">#REF!</definedName>
    <definedName name="AAA" localSheetId="0">'[1]BUS-BAR-GER-DUS-EAE'!#REF!</definedName>
    <definedName name="AAA">'[1]BUS-BAR-GER-DUS-EAE'!#REF!</definedName>
    <definedName name="AAAAA" localSheetId="0">'[2]BUS-BAR-GER-DUS-EAE'!#REF!</definedName>
    <definedName name="AAAAA">'[2]BUS-BAR-GER-DUS-EAE'!#REF!</definedName>
    <definedName name="AAAAAAAAAAAA" localSheetId="0">'[1]BUS-BAR-GER-DUS-EAE'!#REF!</definedName>
    <definedName name="AAAAAAAAAAAA">'[1]BUS-BAR-GER-DUS-EAE'!#REF!</definedName>
    <definedName name="AYDEK">[3]INFO!$C$33</definedName>
    <definedName name="BB" localSheetId="0">#REF!</definedName>
    <definedName name="BB">#REF!</definedName>
    <definedName name="BBB" localSheetId="0">'[1]BUS-BAR-GER-DUS-EAE'!#REF!</definedName>
    <definedName name="BBB">'[1]BUS-BAR-GER-DUS-EAE'!#REF!</definedName>
    <definedName name="CC" localSheetId="0">'[2]BUS-BAR-GER-DUS-EAE'!#REF!</definedName>
    <definedName name="CC">'[2]BUS-BAR-GER-DUS-EAE'!#REF!</definedName>
    <definedName name="CINSI">[3]INFO!$D$2:$D$13</definedName>
    <definedName name="DIVERSITY" localSheetId="0">#REF!</definedName>
    <definedName name="DIVERSITY">#REF!</definedName>
    <definedName name="dsasfd" localSheetId="0">'[1]BUS-BAR-GER-DUS-EAE'!#REF!</definedName>
    <definedName name="dsasfd">'[1]BUS-BAR-GER-DUS-EAE'!#REF!</definedName>
    <definedName name="fdg">'[4]GERI-DUS'!$C$6</definedName>
    <definedName name="FDGDF" localSheetId="0">'[1]BUS-BAR-GER-DUS-EAE'!#REF!</definedName>
    <definedName name="FDGDF">'[1]BUS-BAR-GER-DUS-EAE'!#REF!</definedName>
    <definedName name="GERİLİM">[3]INFO!$B$2:$B$5</definedName>
    <definedName name="GFDGDF" localSheetId="0">'[2]BUS-BAR-GER-DUS-EAE'!#REF!</definedName>
    <definedName name="GFDGDF">'[2]BUS-BAR-GER-DUS-EAE'!#REF!</definedName>
    <definedName name="gg" localSheetId="0">'[2]BUS-BAR-GER-DUS-EAE'!#REF!</definedName>
    <definedName name="gg">'[2]BUS-BAR-GER-DUS-EAE'!#REF!</definedName>
    <definedName name="HFGHFD" localSheetId="0">'[1]BUS-BAR-GER-DUS-EAE'!#REF!</definedName>
    <definedName name="HFGHFD">'[1]BUS-BAR-GER-DUS-EAE'!#REF!</definedName>
    <definedName name="hfhfg" localSheetId="0">'[2]BUS-BAR-GER-DUS-EAE'!#REF!</definedName>
    <definedName name="hfhfg">'[2]BUS-BAR-GER-DUS-EAE'!#REF!</definedName>
    <definedName name="HH" localSheetId="0">'[2]BUS-BAR-GER-DUS-EAE'!#REF!</definedName>
    <definedName name="HH">'[2]BUS-BAR-GER-DUS-EAE'!#REF!</definedName>
    <definedName name="KABLOLAR">'[3]KABLO A.T.K.'!$A$7:$A$222</definedName>
    <definedName name="KKK" localSheetId="0">#REF!</definedName>
    <definedName name="KKK">#REF!</definedName>
    <definedName name="KOMP" localSheetId="0">'[2]BUS-BAR-GER-DUS-EAE'!#REF!</definedName>
    <definedName name="KOMP">'[2]BUS-BAR-GER-DUS-EAE'!#REF!</definedName>
    <definedName name="KONTAKTOR">'[3]T. RÖLELER-KONT.'!$D$7:$D$60</definedName>
    <definedName name="KUVEK">[3]INFO!$C$35</definedName>
    <definedName name="ll" localSheetId="0">'[1]BUS-BAR-GER-DUS-EAE'!#REF!</definedName>
    <definedName name="ll">'[1]BUS-BAR-GER-DUS-EAE'!#REF!</definedName>
    <definedName name="mm" localSheetId="0">#REF!</definedName>
    <definedName name="mm">#REF!</definedName>
    <definedName name="MOTOR">[3]MOTORLAR!$B$9:$B$35</definedName>
    <definedName name="PRIZ">[3]INFO!$C$28</definedName>
    <definedName name="PRIZEK">[3]INFO!$C$34</definedName>
    <definedName name="QQQ" localSheetId="0">#REF!</definedName>
    <definedName name="QQQ">#REF!</definedName>
    <definedName name="rr" localSheetId="0">'[2]BUS-BAR-GER-DUS-EAE'!#REF!</definedName>
    <definedName name="rr">'[2]BUS-BAR-GER-DUS-EAE'!#REF!</definedName>
    <definedName name="rryy" localSheetId="0">'[2]BUS-BAR-GER-DUS-EAE'!#REF!</definedName>
    <definedName name="rryy">'[2]BUS-BAR-GER-DUS-EAE'!#REF!</definedName>
    <definedName name="SALTERLER">[3]ŞALTERLER!$A$1:$A$174</definedName>
    <definedName name="TERMİK">'[3]T. RÖLELER-KONT.'!$A$7:$A$60</definedName>
    <definedName name="TH">'[3]KABLO A.T.K.'!$H$244:$H$245</definedName>
    <definedName name="TT" localSheetId="0">'[2]BUS-BAR-GER-DUS-EAE'!#REF!</definedName>
    <definedName name="TT">'[2]BUS-BAR-GER-DUS-EAE'!#REF!</definedName>
    <definedName name="u" localSheetId="0">'[1]BUS-BAR-GER-DUS-EAE'!#REF!</definedName>
    <definedName name="u">'[1]BUS-BAR-GER-DUS-EAE'!#REF!</definedName>
    <definedName name="UPSPRIZ">[3]INFO!$C$29</definedName>
    <definedName name="_xlnm.Print_Area" localSheetId="0">'.'!$A$1:$T$179</definedName>
    <definedName name="YY" localSheetId="0">#REF!</definedName>
    <definedName name="YY">#REF!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147" i="11" l="1"/>
  <c r="R148" i="11"/>
  <c r="R149" i="11"/>
  <c r="R150" i="11"/>
  <c r="R144" i="11" l="1"/>
  <c r="R145" i="11"/>
  <c r="R56" i="11"/>
  <c r="R137" i="11"/>
  <c r="R106" i="11"/>
  <c r="R55" i="11"/>
  <c r="R54" i="11"/>
  <c r="R53" i="11"/>
  <c r="R52" i="11"/>
  <c r="R51" i="11"/>
  <c r="R50" i="11"/>
  <c r="R49" i="11"/>
  <c r="R119" i="11"/>
  <c r="R118" i="11"/>
  <c r="R117" i="11"/>
  <c r="R116" i="11"/>
  <c r="R115" i="11"/>
  <c r="R114" i="11"/>
  <c r="R113" i="11"/>
  <c r="R112" i="11"/>
  <c r="R107" i="11"/>
  <c r="R104" i="11"/>
  <c r="R105" i="11"/>
  <c r="R81" i="11"/>
  <c r="R80" i="11"/>
  <c r="R79" i="11"/>
  <c r="R101" i="11"/>
  <c r="R108" i="11"/>
  <c r="R109" i="11"/>
  <c r="R100" i="11"/>
  <c r="R99" i="11"/>
  <c r="R103" i="11"/>
  <c r="R102" i="11"/>
  <c r="R98" i="11"/>
  <c r="L162" i="11"/>
  <c r="K162" i="11"/>
  <c r="O162" i="11"/>
  <c r="P162" i="11"/>
  <c r="Q162" i="11"/>
  <c r="R133" i="11"/>
  <c r="R134" i="11"/>
  <c r="R135" i="11"/>
  <c r="R136" i="11"/>
  <c r="R138" i="11"/>
  <c r="R139" i="11"/>
  <c r="R132" i="11"/>
  <c r="R8" i="11"/>
  <c r="R129" i="11"/>
  <c r="R130" i="11"/>
  <c r="R131" i="11"/>
  <c r="R121" i="11"/>
  <c r="R122" i="11"/>
  <c r="R123" i="11"/>
  <c r="R124" i="11"/>
  <c r="R125" i="11"/>
  <c r="R126" i="11"/>
  <c r="R127" i="11"/>
  <c r="R128" i="11"/>
  <c r="R120" i="11"/>
  <c r="R65" i="11"/>
  <c r="R66" i="11"/>
  <c r="R62" i="11"/>
  <c r="R58" i="11"/>
  <c r="R59" i="11"/>
  <c r="R60" i="11"/>
  <c r="R40" i="11"/>
  <c r="R32" i="11"/>
  <c r="R33" i="11"/>
  <c r="R34" i="11"/>
  <c r="R35" i="11"/>
  <c r="R36" i="11"/>
  <c r="R37" i="11"/>
  <c r="R38" i="11"/>
  <c r="R39" i="11"/>
  <c r="R28" i="11"/>
  <c r="R29" i="11"/>
  <c r="R30" i="11"/>
  <c r="R31" i="11"/>
  <c r="R111" i="11"/>
  <c r="R110" i="11"/>
  <c r="R96" i="11"/>
  <c r="R97" i="11"/>
  <c r="R92" i="11"/>
  <c r="R93" i="11"/>
  <c r="R94" i="11"/>
  <c r="R95" i="11"/>
  <c r="R87" i="11"/>
  <c r="R88" i="11"/>
  <c r="R89" i="11"/>
  <c r="R90" i="11"/>
  <c r="R91" i="11"/>
  <c r="R86" i="11"/>
  <c r="R85" i="11"/>
  <c r="R84" i="11"/>
  <c r="R83" i="11"/>
  <c r="R82" i="11"/>
  <c r="R78" i="11"/>
  <c r="R77" i="11"/>
  <c r="R161" i="11"/>
  <c r="R160" i="11"/>
  <c r="R159" i="11"/>
  <c r="R73" i="11"/>
  <c r="R74" i="11"/>
  <c r="R75" i="11"/>
  <c r="R76" i="11"/>
  <c r="R72" i="11"/>
  <c r="R71" i="11"/>
  <c r="R70" i="11"/>
  <c r="R69" i="11"/>
  <c r="R68" i="11"/>
  <c r="R67" i="11"/>
  <c r="R151" i="11"/>
  <c r="R152" i="11"/>
  <c r="R153" i="11"/>
  <c r="R154" i="11"/>
  <c r="R155" i="11"/>
  <c r="R156" i="11"/>
  <c r="R157" i="11"/>
  <c r="R158" i="11"/>
  <c r="R64" i="11"/>
  <c r="R63" i="11"/>
  <c r="R61" i="11"/>
  <c r="R57" i="11"/>
  <c r="R48" i="11"/>
  <c r="R47" i="11"/>
  <c r="R46" i="11"/>
  <c r="R45" i="11"/>
  <c r="R44" i="11"/>
  <c r="R43" i="11"/>
  <c r="R42" i="11"/>
  <c r="R41" i="11"/>
  <c r="R27" i="11"/>
  <c r="R26" i="11"/>
  <c r="R25" i="11"/>
  <c r="R24" i="11"/>
  <c r="R23" i="11"/>
  <c r="R22" i="11"/>
  <c r="R21" i="11"/>
  <c r="R20" i="11"/>
  <c r="R19" i="11"/>
  <c r="R18" i="11"/>
  <c r="R17" i="11"/>
  <c r="R16" i="11"/>
  <c r="J175" i="11" l="1"/>
  <c r="J174" i="11"/>
  <c r="J162" i="11"/>
  <c r="R15" i="11" l="1"/>
  <c r="R141" i="11" l="1"/>
  <c r="R142" i="11"/>
  <c r="R143" i="11"/>
  <c r="R146" i="11"/>
  <c r="R12" i="11"/>
  <c r="R13" i="11"/>
  <c r="R14" i="11"/>
  <c r="R140" i="11" l="1"/>
  <c r="J173" i="11" s="1"/>
  <c r="R11" i="11"/>
  <c r="R10" i="11"/>
  <c r="R9" i="11"/>
  <c r="J172" i="11" s="1"/>
  <c r="J176" i="11" l="1"/>
  <c r="J169" i="11" s="1"/>
  <c r="R162" i="11"/>
  <c r="J168" i="11" s="1"/>
</calcChain>
</file>

<file path=xl/sharedStrings.xml><?xml version="1.0" encoding="utf-8"?>
<sst xmlns="http://schemas.openxmlformats.org/spreadsheetml/2006/main" count="1118" uniqueCount="366">
  <si>
    <r>
      <t xml:space="preserve">LİNYE
NO
</t>
    </r>
    <r>
      <rPr>
        <i/>
        <sz val="8"/>
        <rFont val="Arial Tur"/>
        <charset val="162"/>
      </rPr>
      <t>LINE NO</t>
    </r>
  </si>
  <si>
    <r>
      <t xml:space="preserve">DEVRE KESİCİLER
</t>
    </r>
    <r>
      <rPr>
        <i/>
        <sz val="8"/>
        <rFont val="Arial Tur"/>
        <charset val="162"/>
      </rPr>
      <t>CIRCUIT BREAKERS</t>
    </r>
  </si>
  <si>
    <r>
      <t xml:space="preserve">YÜKLER
</t>
    </r>
    <r>
      <rPr>
        <i/>
        <sz val="8"/>
        <rFont val="Arial Tur"/>
        <charset val="162"/>
      </rPr>
      <t>LOADS</t>
    </r>
  </si>
  <si>
    <r>
      <t xml:space="preserve">KABLO
KESİTİ
</t>
    </r>
    <r>
      <rPr>
        <i/>
        <sz val="8"/>
        <rFont val="Arial Tur"/>
        <charset val="162"/>
      </rPr>
      <t>CABLE SECTION</t>
    </r>
  </si>
  <si>
    <r>
      <t>KABLO
CİNSİ</t>
    </r>
    <r>
      <rPr>
        <i/>
        <sz val="8"/>
        <rFont val="Arial Tur"/>
        <charset val="162"/>
      </rPr>
      <t xml:space="preserve">
CABLE TYPE</t>
    </r>
  </si>
  <si>
    <r>
      <t xml:space="preserve">PANO GÜCÜ [W]
</t>
    </r>
    <r>
      <rPr>
        <i/>
        <sz val="8"/>
        <rFont val="Arial Tur"/>
        <charset val="162"/>
      </rPr>
      <t>PANELBOARD POWER [W]</t>
    </r>
  </si>
  <si>
    <r>
      <t xml:space="preserve">1. CİHAZ
</t>
    </r>
    <r>
      <rPr>
        <i/>
        <sz val="8"/>
        <rFont val="Arial Tur"/>
        <charset val="162"/>
      </rPr>
      <t>1. DEVICE</t>
    </r>
  </si>
  <si>
    <r>
      <t xml:space="preserve">IŞIK
</t>
    </r>
    <r>
      <rPr>
        <i/>
        <sz val="8"/>
        <rFont val="Arial Tur"/>
        <charset val="162"/>
      </rPr>
      <t>LIGHT.</t>
    </r>
  </si>
  <si>
    <r>
      <t xml:space="preserve">PRİZ
</t>
    </r>
    <r>
      <rPr>
        <i/>
        <sz val="8"/>
        <rFont val="Arial Tur"/>
        <charset val="162"/>
      </rPr>
      <t>SOCKET</t>
    </r>
  </si>
  <si>
    <r>
      <t xml:space="preserve">MOTOR
</t>
    </r>
    <r>
      <rPr>
        <i/>
        <sz val="8"/>
        <rFont val="Arial Tur"/>
        <charset val="162"/>
      </rPr>
      <t>MOTOR</t>
    </r>
  </si>
  <si>
    <t>L1</t>
  </si>
  <si>
    <t>L2</t>
  </si>
  <si>
    <t>L3</t>
  </si>
  <si>
    <r>
      <t xml:space="preserve">TOPLAM
</t>
    </r>
    <r>
      <rPr>
        <i/>
        <sz val="8"/>
        <rFont val="Arial Tur"/>
        <charset val="162"/>
      </rPr>
      <t>TOTAL</t>
    </r>
  </si>
  <si>
    <t xml:space="preserve"> NHXMH</t>
  </si>
  <si>
    <t>3x2,5</t>
  </si>
  <si>
    <r>
      <t xml:space="preserve">TOPLAM / </t>
    </r>
    <r>
      <rPr>
        <i/>
        <sz val="8"/>
        <rFont val="Arial Tur"/>
        <charset val="162"/>
      </rPr>
      <t>TOTAL</t>
    </r>
  </si>
  <si>
    <r>
      <t xml:space="preserve">PANO ADI / </t>
    </r>
    <r>
      <rPr>
        <i/>
        <sz val="8"/>
        <rFont val="Arial Tur"/>
        <charset val="162"/>
      </rPr>
      <t>PANEL NAME</t>
    </r>
  </si>
  <si>
    <r>
      <t xml:space="preserve">KOLON NO / </t>
    </r>
    <r>
      <rPr>
        <i/>
        <sz val="8"/>
        <rFont val="Arial Tur"/>
        <charset val="162"/>
      </rPr>
      <t>RISER NO</t>
    </r>
  </si>
  <si>
    <r>
      <t xml:space="preserve">COS Ø / </t>
    </r>
    <r>
      <rPr>
        <i/>
        <sz val="8"/>
        <rFont val="Arial Tur"/>
        <charset val="162"/>
      </rPr>
      <t>POWER FACTOR</t>
    </r>
  </si>
  <si>
    <r>
      <t xml:space="preserve">NOMİNAL AKIM / </t>
    </r>
    <r>
      <rPr>
        <i/>
        <sz val="8"/>
        <rFont val="Arial Tur"/>
        <charset val="162"/>
      </rPr>
      <t>NOM. CURRENT</t>
    </r>
    <r>
      <rPr>
        <b/>
        <sz val="8"/>
        <rFont val="Arial Tur"/>
        <family val="2"/>
        <charset val="162"/>
      </rPr>
      <t xml:space="preserve"> [A]</t>
    </r>
  </si>
  <si>
    <r>
      <t xml:space="preserve">TALEP AKIM / </t>
    </r>
    <r>
      <rPr>
        <i/>
        <sz val="8"/>
        <rFont val="Arial Tur"/>
        <charset val="162"/>
      </rPr>
      <t>DEMAND CURRENT</t>
    </r>
    <r>
      <rPr>
        <b/>
        <sz val="8"/>
        <rFont val="Arial Tur"/>
        <family val="2"/>
        <charset val="162"/>
      </rPr>
      <t xml:space="preserve"> [A]</t>
    </r>
  </si>
  <si>
    <r>
      <t xml:space="preserve">KABLO KESİTİ / </t>
    </r>
    <r>
      <rPr>
        <i/>
        <sz val="8"/>
        <rFont val="Arial Tur"/>
        <charset val="162"/>
      </rPr>
      <t>CABLE SECTION</t>
    </r>
  </si>
  <si>
    <r>
      <t xml:space="preserve">GİRİŞ ŞALTERİ </t>
    </r>
    <r>
      <rPr>
        <i/>
        <sz val="8"/>
        <rFont val="Arial Tur"/>
        <charset val="162"/>
      </rPr>
      <t>/ MAIN CIR. BREKAER</t>
    </r>
  </si>
  <si>
    <t>1) Gerilim düşüm hesapları yapılarak kesitler belirlenmiştir.</t>
  </si>
  <si>
    <t>P1</t>
  </si>
  <si>
    <t>P2</t>
  </si>
  <si>
    <t>P3</t>
  </si>
  <si>
    <t>P4</t>
  </si>
  <si>
    <t>P5</t>
  </si>
  <si>
    <t>P6</t>
  </si>
  <si>
    <t>P7</t>
  </si>
  <si>
    <t>YEDEK</t>
  </si>
  <si>
    <r>
      <t>2. CİHAZ
2</t>
    </r>
    <r>
      <rPr>
        <i/>
        <sz val="8"/>
        <rFont val="Arial Tur"/>
        <charset val="162"/>
      </rPr>
      <t>. DEVICE</t>
    </r>
  </si>
  <si>
    <t>-</t>
  </si>
  <si>
    <t>P8</t>
  </si>
  <si>
    <t>L4</t>
  </si>
  <si>
    <t>L5</t>
  </si>
  <si>
    <t>L6</t>
  </si>
  <si>
    <t>L7</t>
  </si>
  <si>
    <t>K1</t>
  </si>
  <si>
    <t>K2</t>
  </si>
  <si>
    <t>1x16 C 6kA</t>
  </si>
  <si>
    <t>K3</t>
  </si>
  <si>
    <t>K4</t>
  </si>
  <si>
    <t>K5</t>
  </si>
  <si>
    <t>1x2 C 6kA</t>
  </si>
  <si>
    <t>P9</t>
  </si>
  <si>
    <t>P10</t>
  </si>
  <si>
    <t>P11</t>
  </si>
  <si>
    <t>P12</t>
  </si>
  <si>
    <t>P13</t>
  </si>
  <si>
    <t>P14</t>
  </si>
  <si>
    <t>ŞEBEKE</t>
  </si>
  <si>
    <t>ŞEBEKE SİNYAL LAMBA 1</t>
  </si>
  <si>
    <t>ŞEBEKE SİNYAL LAMBA 2</t>
  </si>
  <si>
    <t>ŞEBEKE SİNYAL LAMBA 3</t>
  </si>
  <si>
    <t>P15</t>
  </si>
  <si>
    <t>P16</t>
  </si>
  <si>
    <t>P17</t>
  </si>
  <si>
    <t>P18</t>
  </si>
  <si>
    <t>L8</t>
  </si>
  <si>
    <t>4x40A 30mA KAÇAK                                                        AKIM KORUMA                                   RÖLESİ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</si>
  <si>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</si>
  <si>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</si>
  <si>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</si>
  <si>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</si>
  <si>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</si>
  <si>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</si>
  <si>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</si>
  <si>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</si>
  <si>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</si>
  <si>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</si>
  <si>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</si>
  <si>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</si>
  <si>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S1</t>
  </si>
  <si>
    <t>S2</t>
  </si>
  <si>
    <t>S3</t>
  </si>
  <si>
    <t>S4</t>
  </si>
  <si>
    <t>S5</t>
  </si>
  <si>
    <t>S6</t>
  </si>
  <si>
    <t>S7</t>
  </si>
  <si>
    <t>S8</t>
  </si>
  <si>
    <t>4x63A 30mA KAÇAK                                                        AKIM KORUMA                                   RÖLESİ</t>
  </si>
  <si>
    <t>5x4</t>
  </si>
  <si>
    <t>1x6 C 6kA</t>
  </si>
  <si>
    <t>ADP R00</t>
  </si>
  <si>
    <t>4x25A 30mA KAÇAK                          AKIM KORUMA                                RÖLESİ</t>
  </si>
  <si>
    <t>1x10 B 6kA</t>
  </si>
  <si>
    <t>3x1,5</t>
  </si>
  <si>
    <t>5x2,5</t>
  </si>
  <si>
    <t>3x25 C 6kA</t>
  </si>
  <si>
    <t>4x25A 30mA KAÇAK                                                                                                                                                                                                                                                                                                                                           AKIM KORUMA                                                                                                                                                                                          RÖLESİ</t>
  </si>
  <si>
    <r>
      <t>4. CİHAZ
4</t>
    </r>
    <r>
      <rPr>
        <i/>
        <sz val="8"/>
        <rFont val="Arial Tur"/>
        <charset val="162"/>
      </rPr>
      <t>. DEVICE</t>
    </r>
  </si>
  <si>
    <r>
      <t>3. CİHAZ
3</t>
    </r>
    <r>
      <rPr>
        <i/>
        <sz val="8"/>
        <rFont val="Arial Tur"/>
        <charset val="162"/>
      </rPr>
      <t>. DEVICE</t>
    </r>
  </si>
  <si>
    <t>4x25A 30mA KAÇAK                                             AKIM KORUMA                                                                                                                      RÖLESİ</t>
  </si>
  <si>
    <t>NUSRET SALTBAE AQUA FLORYA ADP ELEKTRİK PANO YÜKLEME CETVELİ R00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</si>
  <si>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</si>
  <si>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</si>
  <si>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</si>
  <si>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</si>
  <si>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</si>
  <si>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</si>
  <si>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</si>
  <si>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</si>
  <si>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</si>
  <si>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</si>
  <si>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WSHP BESLEME 2 ( EWH15H )</t>
  </si>
  <si>
    <t>WSHP BESLEME 1 ( EWH22H )</t>
  </si>
  <si>
    <t>WSHP BESLEME 3 ( EWH22H )</t>
  </si>
  <si>
    <t>WSHP BESLEME 4 ( EWH22H )</t>
  </si>
  <si>
    <t>3x16 C 6kA</t>
  </si>
  <si>
    <t>1x10 C 6kA</t>
  </si>
  <si>
    <t>HAVA PERDESİ BESLEME</t>
  </si>
  <si>
    <t>5x6</t>
  </si>
  <si>
    <t>N2XH</t>
  </si>
  <si>
    <t>3x40 C 6kA</t>
  </si>
  <si>
    <t>2x25A 30mA KAÇAK                          AKIM KORUMA                                RÖLESİ</t>
  </si>
  <si>
    <t>4x63A 30mA KAÇAK                          AKIM KORUMA                                RÖLESİ</t>
  </si>
  <si>
    <t>VRF DIŞ ÜNİTE BESLEME-1</t>
  </si>
  <si>
    <t>VRF DIŞ ÜNİTE BESLEME-2</t>
  </si>
  <si>
    <t>5x10</t>
  </si>
  <si>
    <t>SPLİT KLİMA DIŞ ÜNİTE BESLEME -1</t>
  </si>
  <si>
    <t>SPLİT KLİMA DIŞ ÜNİTE BESLEME -2</t>
  </si>
  <si>
    <t>3x63 C 6kA</t>
  </si>
  <si>
    <t>M19</t>
  </si>
  <si>
    <t>M20</t>
  </si>
  <si>
    <t>M21</t>
  </si>
  <si>
    <t>SOĞUK ODA DIŞ ÜNİTE BESLEME -1</t>
  </si>
  <si>
    <t>BODRUM DEPO ALANI BESLEME</t>
  </si>
  <si>
    <t>M22</t>
  </si>
  <si>
    <t>M23</t>
  </si>
  <si>
    <t>M24</t>
  </si>
  <si>
    <t>3x50 C 6kA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</si>
  <si>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</si>
  <si>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</si>
  <si>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</si>
  <si>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</si>
  <si>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</si>
  <si>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</si>
  <si>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</si>
  <si>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</si>
  <si>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</si>
  <si>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</si>
  <si>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KAHVE DEĞİRMENİ BESLEME (BAR BÖLÜMÜ)</t>
  </si>
  <si>
    <t>BUZDOLABI (BAR BÖLÜMÜ)</t>
  </si>
  <si>
    <t>TÜRK KAHVE MAKİNASI (BAR BÖLÜMÜ)</t>
  </si>
  <si>
    <t>DERİN DONDURUCU BESLEME (BAR BÖLÜMÜ)</t>
  </si>
  <si>
    <t>TEZGAHALTI BUZDOLABI BESLEME (BAR BÖLÜMÜ)</t>
  </si>
  <si>
    <t>TEZGAHÜSTÜ PRİZ (BAR BÖLÜMÜ)</t>
  </si>
  <si>
    <t>SETALTI BUZDOLABI BESLEME (BAR BÖLÜMÜ)</t>
  </si>
  <si>
    <t>TEZGAH TİPİ BUZDOLABI BESLEME</t>
  </si>
  <si>
    <t>TEZGAHALTI BUZDOLABI BESLEME (MANGAL BÖLÜMÜ)</t>
  </si>
  <si>
    <t>TEZGAHÜSTÜ PRİZ (MANGAL BÖLÜMÜ)</t>
  </si>
  <si>
    <t>BUZ MAKİNASI BESLEME (MUTFAK BÖLÜMÜ)</t>
  </si>
  <si>
    <t>DİKEY TİP BUZDOLABI BESLEME (MUTFAK BÖLÜMÜ)</t>
  </si>
  <si>
    <t>A1</t>
  </si>
  <si>
    <t>A2</t>
  </si>
  <si>
    <t>A3</t>
  </si>
  <si>
    <t>EXIT BESLEME 1</t>
  </si>
  <si>
    <t>EXIT BESLEME 2</t>
  </si>
  <si>
    <t>2x25A 30mA KAÇAK                                             AKIM KORUMA                                                                                                                      RÖLESİ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</si>
  <si>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</si>
  <si>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</si>
  <si>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</si>
  <si>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</si>
  <si>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</si>
  <si>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</si>
  <si>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</si>
  <si>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</si>
  <si>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</si>
  <si>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</si>
  <si>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GİYOTİN CAM BESLEME 1</t>
  </si>
  <si>
    <t>GİYOTİN CAM BESLEME 2</t>
  </si>
  <si>
    <t>GİYOTİN CAM BESLEME 3</t>
  </si>
  <si>
    <t>GİYOTİN CAM BESLEME 4</t>
  </si>
  <si>
    <t>GİYOTİN CAM BESLEME 5</t>
  </si>
  <si>
    <t>GİYOTİN CAM BESLEME 6</t>
  </si>
  <si>
    <t>GİYOTİN CAM BESLEME 7</t>
  </si>
  <si>
    <t>K6</t>
  </si>
  <si>
    <t>K7</t>
  </si>
  <si>
    <t>K8</t>
  </si>
  <si>
    <t>ESPRESSO MAKİNA BESLEME (BAR BÖLÜMÜ)</t>
  </si>
  <si>
    <t>BARDAK YIKAMA MAKİNASI (BAR BÖLÜMÜ)</t>
  </si>
  <si>
    <t>BAR BLİNDER MAKİNASI</t>
  </si>
  <si>
    <t>BULAŞIK YIKAMA MAKİNASI-1 (MUTFAK BÖLÜMÜ)</t>
  </si>
  <si>
    <t>BULAŞIK YIKAMA MAKİNASI-2 (MUTFAK BÖLÜMÜ)</t>
  </si>
  <si>
    <t>K9</t>
  </si>
  <si>
    <t>K10</t>
  </si>
  <si>
    <t>MC1</t>
  </si>
  <si>
    <t>MC2</t>
  </si>
  <si>
    <t>MC3</t>
  </si>
  <si>
    <t>MC4</t>
  </si>
  <si>
    <t>MC5</t>
  </si>
  <si>
    <t>MC6</t>
  </si>
  <si>
    <t>MC7</t>
  </si>
  <si>
    <t>MC8</t>
  </si>
  <si>
    <t>MC9</t>
  </si>
  <si>
    <t>MC10</t>
  </si>
  <si>
    <t>DAVLUMBAZ AYDINLATMA-1</t>
  </si>
  <si>
    <t>DAVLUMBAZ AYDINLATMA-2</t>
  </si>
  <si>
    <t>SETÜSTÜ İNDÜKSİYON OCAK-1</t>
  </si>
  <si>
    <t>SETÜSTÜ İNDÜKSİYON OCAK-2</t>
  </si>
  <si>
    <t>ELEKTRİKLİ FRİTÖZ-1</t>
  </si>
  <si>
    <t>ELEKTRİKLİ FRİTÖZ-2</t>
  </si>
  <si>
    <t>ELEKTRİKLİ FRİTÖZ-3</t>
  </si>
  <si>
    <t>PATATES SICAK TUTUCU-1</t>
  </si>
  <si>
    <t>PATATES SICAK TUTUCU-2</t>
  </si>
  <si>
    <t>MC11</t>
  </si>
  <si>
    <t>MC12</t>
  </si>
  <si>
    <t>MUTFAK BÖLÜMÜ AYDINLATMA-1</t>
  </si>
  <si>
    <t>MUTFAK BÖLÜMÜ AYDINLATMA-2</t>
  </si>
  <si>
    <t>PERSONEL YEMEK ALANI AYINLATMA</t>
  </si>
  <si>
    <t>ELEKTRİK ODASI AYDINLATMA</t>
  </si>
  <si>
    <t>KURU DEPO AYDINLATMA</t>
  </si>
  <si>
    <t>DTR-10 + KONTAKTÖR</t>
  </si>
  <si>
    <t>4x2,5</t>
  </si>
  <si>
    <t xml:space="preserve">ÖN TERAS ALAN AYDINLATMA </t>
  </si>
  <si>
    <t>ON / OFF AYDINLATMA YEDEK</t>
  </si>
  <si>
    <t>8 KANAL ON/OFF AYDINLATMA OTOMASYON MODÜL</t>
  </si>
  <si>
    <t>DS1</t>
  </si>
  <si>
    <t>DS2</t>
  </si>
  <si>
    <t>DS3</t>
  </si>
  <si>
    <t>DS4</t>
  </si>
  <si>
    <t>DS5</t>
  </si>
  <si>
    <t>DS6</t>
  </si>
  <si>
    <t>M25</t>
  </si>
  <si>
    <t>M26</t>
  </si>
  <si>
    <t>M27</t>
  </si>
  <si>
    <t>M28</t>
  </si>
  <si>
    <t>M29</t>
  </si>
  <si>
    <t>M30</t>
  </si>
  <si>
    <t>BİOKLİMATİK TENTE BESLEME-1</t>
  </si>
  <si>
    <t>BİOKLİMATİK TENTE BESLEME-2</t>
  </si>
  <si>
    <t>BİOKLİMATİK TENTE BESLEME-3</t>
  </si>
  <si>
    <t>BİOKLİMATİK TENTE BESLEME-4</t>
  </si>
  <si>
    <t>BİOKLİMATİK TENTE BESLEME-5</t>
  </si>
  <si>
    <t>BİOKLİMATİK TENTE BESLEME-6</t>
  </si>
  <si>
    <t>M31</t>
  </si>
  <si>
    <t>4x100A 30mA KAÇAK AKIM KORUMA RÖLESİ</t>
  </si>
  <si>
    <t>4x40A 30mA KAÇAK AKIM KORUMA RÖLESİ</t>
  </si>
  <si>
    <t>4x25A 30mA KAÇAK AKIM KORUMA RÖLESİ</t>
  </si>
  <si>
    <t>3x630A TMŞ</t>
  </si>
  <si>
    <t>TOROİD KAÇAK AKIM KORUMA</t>
  </si>
  <si>
    <t>4x40A 30mA KAÇAK                          AKIM KORUMA                                RÖLESİ</t>
  </si>
  <si>
    <t>M32</t>
  </si>
  <si>
    <t>M33</t>
  </si>
  <si>
    <t>M34</t>
  </si>
  <si>
    <t>M35</t>
  </si>
  <si>
    <t>M36</t>
  </si>
  <si>
    <t>M37</t>
  </si>
  <si>
    <t>M38</t>
  </si>
  <si>
    <t>M39</t>
  </si>
  <si>
    <t>1x32 C 6kA</t>
  </si>
  <si>
    <t>3x4</t>
  </si>
  <si>
    <t>8(1x95) MM2 N2XH + 1x95 H07ZU</t>
  </si>
  <si>
    <t>* Aydınlatma Diversite</t>
  </si>
  <si>
    <t>* Mekanik Cihaz Diversite</t>
  </si>
  <si>
    <t>* Mutfak Ekipman Diversite</t>
  </si>
  <si>
    <r>
      <t xml:space="preserve">TOPLAM TALEP GÜÇ / TOTAL </t>
    </r>
    <r>
      <rPr>
        <i/>
        <sz val="8"/>
        <rFont val="Arial Tur"/>
        <charset val="162"/>
      </rPr>
      <t>DEMAND POWER</t>
    </r>
    <r>
      <rPr>
        <b/>
        <sz val="8"/>
        <rFont val="Arial Tur"/>
        <family val="2"/>
        <charset val="162"/>
      </rPr>
      <t xml:space="preserve"> [W]</t>
    </r>
  </si>
  <si>
    <t>PRİZ TALEP GÜÇ / SOCKET DEMAND POWER [W]</t>
  </si>
  <si>
    <t>AYDINLATMA TALEP GÜÇ / SOCKET DEMAND POWER [W]</t>
  </si>
  <si>
    <t>MUTFAK EKİPMAN TALEP GÜÇ / SOCKET DEMAND POWER [W]</t>
  </si>
  <si>
    <t>MEKANİK CİHAZ TALEP GÜÇ / SOCKET DEMAND POWER [W]</t>
  </si>
  <si>
    <t>* Priz Diversite</t>
  </si>
  <si>
    <t>3x630A</t>
  </si>
  <si>
    <t>TMŞ</t>
  </si>
  <si>
    <t>10 KVA UPS BESLEME</t>
  </si>
  <si>
    <t>DOĞALGAZLI KOMBİ FIRIN</t>
  </si>
  <si>
    <t>WSHP BESLEME 5 ( EWH15H )</t>
  </si>
  <si>
    <t>M11</t>
  </si>
  <si>
    <t>M12</t>
  </si>
  <si>
    <t>M13</t>
  </si>
  <si>
    <t>M14</t>
  </si>
  <si>
    <t>M15</t>
  </si>
  <si>
    <t>M16</t>
  </si>
  <si>
    <t>M17</t>
  </si>
  <si>
    <t>M18</t>
  </si>
  <si>
    <t>TERAS ALANI ELEKTRİKLİ ISITICI-1</t>
  </si>
  <si>
    <t>TERAS ALANI ELEKTRİKLİ ISITICI-2</t>
  </si>
  <si>
    <t>TERAS ALANI ELEKTRİKLİ ISITICI-3</t>
  </si>
  <si>
    <t>TERAS ALANI ELEKTRİKLİ ISITICI-4</t>
  </si>
  <si>
    <t>M40</t>
  </si>
  <si>
    <t>M41</t>
  </si>
  <si>
    <t>M42</t>
  </si>
  <si>
    <t>M43</t>
  </si>
  <si>
    <t>TERAS ALANI ELEKTRİKLİ ISITICI-5</t>
  </si>
  <si>
    <t>TERAS ALANI ELEKTRİKLİ ISITICI-6</t>
  </si>
  <si>
    <t>TERAS ALANI ELEKTRİKLİ ISITICI-7</t>
  </si>
  <si>
    <t>TERAS ALANI ELEKTRİKLİ ISITICI-8</t>
  </si>
  <si>
    <t>KAYAR KAPI BESLEME 1</t>
  </si>
  <si>
    <t>KAYAR KAPI BESLEME 2</t>
  </si>
  <si>
    <t>SOĞUK ODA AYDINLATMA BESLEME 1</t>
  </si>
  <si>
    <t>SOĞUK ODA AYDINLATMA BESLEME 2</t>
  </si>
  <si>
    <t>SOĞUK ODA AYDINLATMA BESLEME 3</t>
  </si>
  <si>
    <t>2x25A 30mA KAÇAK AKIM KORUMA RÖLESİ</t>
  </si>
  <si>
    <t>3x125A TMŞ</t>
  </si>
  <si>
    <t>ÖN TERAS SERVANT ŞEBEKE PRİZ BESLEME</t>
  </si>
  <si>
    <t>BAR BÖLÜMÜ KASA ŞEBEKE PRİZ BESLEME</t>
  </si>
  <si>
    <t>SETÜSTÜ FRİTÖZ</t>
  </si>
  <si>
    <t>TEZGAHTİPİ DERİN DONDURUCU (MANGAL BÖLÜMÜ)</t>
  </si>
  <si>
    <t>TEZGAH TİPİ BUZDOLABI BESLEME (MUTFAK KORİDOR)</t>
  </si>
  <si>
    <t>TEZGAHÜSTÜ PRİZ (KORİDOR TEZGAH)</t>
  </si>
  <si>
    <t>SİNEK ÖLDÜRÜCÜ CİHAZ BESLEME (MUTFAK BÖLÜMÜ)</t>
  </si>
  <si>
    <t>FOTOSELLİ BATARYA (MUTFAK BÖLÜMÜ)</t>
  </si>
  <si>
    <t>FOTOSELLİ BATARYA (MANGAL BÖLÜMÜ)</t>
  </si>
  <si>
    <t>SU SEBİLİ BESLEME</t>
  </si>
  <si>
    <t>TEZGAHÜSTÜ PRİZ (YEMEKHANE BÖLÜMÜ)</t>
  </si>
  <si>
    <t>BAIN MARİE BESLEME</t>
  </si>
  <si>
    <t>SICAK SERVİS ARABASI</t>
  </si>
  <si>
    <t xml:space="preserve">YEMEK MASA ALTI PRİZ BESLEME </t>
  </si>
  <si>
    <t>BAIN MARIE (MANGAL BÖLÜMÜ)</t>
  </si>
  <si>
    <t>YEDEK (MUTFAK BÖLÜMÜ)</t>
  </si>
  <si>
    <t>FOTOSELLİ BATARYA (BAR BÖLÜMÜ)</t>
  </si>
  <si>
    <t>DİK TİP BUZDOLABI (BAR BÖLÜMÜ DEPO İÇİ)</t>
  </si>
  <si>
    <t>P41</t>
  </si>
  <si>
    <t>P42</t>
  </si>
  <si>
    <t>P43</t>
  </si>
  <si>
    <t>P44</t>
  </si>
  <si>
    <t>P45</t>
  </si>
  <si>
    <t>P46</t>
  </si>
  <si>
    <t>P47</t>
  </si>
  <si>
    <t>P48</t>
  </si>
  <si>
    <t>WSHP BESLEME 6 ( EWH22H )</t>
  </si>
  <si>
    <t>WSHP BESLEME 7 ( EWH22H )</t>
  </si>
  <si>
    <t>PERGOLA BAR BÖLÜMÜ AYDINLATMA</t>
  </si>
  <si>
    <t>SEDİR KOLTUK ALTI PRİZ BESLEME</t>
  </si>
  <si>
    <t>MANGAL BÖLÜMÜ BAR GİZLİ LEDBESLEME</t>
  </si>
  <si>
    <t>BAR BÖLÜMÜ TEZGAH GİZLİ LED BESLEME</t>
  </si>
  <si>
    <t>DALİ MODÜL 1</t>
  </si>
  <si>
    <t>DS7</t>
  </si>
  <si>
    <t>DALİ MODÜL 2</t>
  </si>
  <si>
    <t>DALİ MODÜL 3</t>
  </si>
  <si>
    <t>PERGOLA AYDINLATMA</t>
  </si>
  <si>
    <t>SHOW KİTCHEN AYDINLATMA</t>
  </si>
  <si>
    <t>KAPALI ALAN AYDINLATMA 1</t>
  </si>
  <si>
    <t>KAPALI ALAN AYDINLATMA 2</t>
  </si>
  <si>
    <t>KAPALI ALAN AYDINLATMA 3</t>
  </si>
  <si>
    <t>KAPALI ALAN AYDINLATMA 4</t>
  </si>
  <si>
    <t>FD1</t>
  </si>
  <si>
    <t>FD2</t>
  </si>
  <si>
    <t>FD3</t>
  </si>
  <si>
    <t>FD4</t>
  </si>
  <si>
    <t>4 KANAL FAZ DİM MODÜL</t>
  </si>
  <si>
    <t>PERGOLA ALTI AYDINLATMA 1</t>
  </si>
  <si>
    <t>PERGOLA ALTI AYDINLATMA 2</t>
  </si>
  <si>
    <t>KLEMENSE KİT FAZI İNDİRİLECEK.</t>
  </si>
  <si>
    <t>BAR BÖLÜMÜ DEPO AYDINLATMA</t>
  </si>
  <si>
    <t>RESTAURANT ALANI DEPO AYDINLATMA</t>
  </si>
  <si>
    <t>RESTAURANT KİT HATTI BESLEME</t>
  </si>
  <si>
    <t>1-0-2 PAKO</t>
  </si>
  <si>
    <t>ZAMAN SAATİ+KONTAKTÖR</t>
  </si>
  <si>
    <t>NUSRET YAN CEPHE TABELA BESLEME</t>
  </si>
  <si>
    <t>NUSRET ÖN CEPHE TABELA BESLEME</t>
  </si>
  <si>
    <t>DTR-10 + KONTAKTÖR + 1-0-2 PAKO</t>
  </si>
  <si>
    <t>NUSRET AVM GİRİŞ TABELA BESLEME</t>
  </si>
  <si>
    <t>PANO AYDINLATMA</t>
  </si>
  <si>
    <t>3x16 MKŞ</t>
  </si>
  <si>
    <t>24VOLT GÜÇ KAYNAĞI + MİNİ RÖLE + YANGIN KONTAĞI İLE GİRİŞ ŞALTER TRİPE DÜŞÜRÜLECEKTİR.</t>
  </si>
  <si>
    <t>TAZE HAVA ŞARTLANDIRMA ÜNİTESİ KART BESLEME-1</t>
  </si>
  <si>
    <t>TAZE HAVA ŞARTLANDIRMA ÜNİTESİ KART BESLEME-2</t>
  </si>
  <si>
    <t>BODRUM KAT DEPO İÇİ BOİLER BESLEME</t>
  </si>
  <si>
    <t>SOĞUK ODA DIŞ ÜNİTE BESLEME-2</t>
  </si>
  <si>
    <t>TAZE HAVA ŞARTLANDIRMA ÜNİTESİ FAN BESLEME 1</t>
  </si>
  <si>
    <t>TAZE HAVA ŞARTLANDIRMA ÜNİTESİ FAN BESLEME 2</t>
  </si>
  <si>
    <t>MDP PANO BESLEME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</si>
</sst>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0"/>
      <name val="Arial TUR"/>
      <charset val="162"/>
    </font>
    <font>
      <sz val="8"/>
      <name val="Arial Tur"/>
      <charset val="162"/>
    </font>
    <font>
      <b/>
      <sz val="8"/>
      <name val="Arial Tur"/>
      <family val="2"/>
      <charset val="162"/>
    </font>
    <font>
      <i/>
      <sz val="8"/>
      <name val="Arial Tur"/>
      <charset val="162"/>
    </font>
    <font>
      <sz val="8"/>
      <name val="Arial Tur"/>
      <family val="2"/>
      <charset val="162"/>
    </font>
    <font>
      <sz val="10"/>
      <name val="Arial"/>
      <family val="2"/>
      <charset val="162"/>
    </font>
    <font>
      <sz val="8"/>
      <name val="Arial"/>
      <family val="2"/>
      <charset val="162"/>
    </font>
    <font>
      <b/>
      <sz val="12"/>
      <name val="Arial Tur"/>
      <charset val="162"/>
    </font>
    <font>
      <b/>
      <sz val="8"/>
      <name val="Arial Tur"/>
      <charset val="162"/>
    </font>
    <font>
      <i/>
      <sz val="8"/>
      <name val="Arial"/>
      <family val="2"/>
      <charset val="162"/>
    </font>
    <font>
      <b/>
      <sz val="9"/>
      <name val="Arial Tur"/>
      <family val="2"/>
      <charset val="162"/>
    </font>
    <font>
      <sz val="8"/>
      <name val="Calibri"/>
      <family val="2"/>
      <scheme val="minor"/>
    </font>
    <font>
      <b/>
      <sz val="14"/>
      <name val="Arial Tur"/>
      <family val="2"/>
      <charset val="162"/>
    </font>
  </fonts>
  <fills count="1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7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320">
    <xf numFmtId="0" fontId="0" fillId="0" borderId="0" xfId="0"/>
    <xf numFmtId="0" fontId="2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3" fillId="0" borderId="11" xfId="1" applyFont="1" applyBorder="1" applyAlignment="1">
      <alignment horizontal="center" vertical="center" wrapText="1"/>
    </xf>
    <xf numFmtId="1" fontId="3" fillId="0" borderId="11" xfId="1" applyNumberFormat="1" applyFont="1" applyBorder="1" applyAlignment="1">
      <alignment horizontal="center" vertical="center" wrapText="1"/>
    </xf>
    <xf numFmtId="1" fontId="3" fillId="0" borderId="12" xfId="1" applyNumberFormat="1" applyFont="1" applyBorder="1" applyAlignment="1">
      <alignment horizontal="center" vertical="center" wrapText="1"/>
    </xf>
    <xf numFmtId="1" fontId="3" fillId="0" borderId="14" xfId="1" applyNumberFormat="1" applyFont="1" applyBorder="1" applyAlignment="1">
      <alignment horizontal="center" vertical="center"/>
    </xf>
    <xf numFmtId="1" fontId="3" fillId="0" borderId="11" xfId="1" applyNumberFormat="1" applyFont="1" applyBorder="1" applyAlignment="1">
      <alignment horizontal="center" vertical="center"/>
    </xf>
    <xf numFmtId="0" fontId="5" fillId="0" borderId="0" xfId="1" applyFont="1"/>
    <xf numFmtId="164" fontId="3" fillId="0" borderId="7" xfId="1" applyNumberFormat="1" applyFont="1" applyBorder="1" applyAlignment="1">
      <alignment horizontal="center" vertical="center"/>
    </xf>
    <xf numFmtId="1" fontId="10" fillId="0" borderId="13" xfId="2" applyNumberFormat="1" applyFont="1" applyBorder="1" applyAlignment="1">
      <alignment vertical="center"/>
    </xf>
    <xf numFmtId="0" fontId="8" fillId="0" borderId="0" xfId="1" applyFont="1" applyAlignment="1">
      <alignment horizontal="center" vertical="center" textRotation="90" wrapText="1"/>
    </xf>
    <xf numFmtId="49" fontId="5" fillId="0" borderId="0" xfId="1" applyNumberFormat="1" applyFont="1"/>
    <xf numFmtId="0" fontId="2" fillId="0" borderId="0" xfId="1" applyFont="1"/>
    <xf numFmtId="0" fontId="2" fillId="0" borderId="0" xfId="1" applyFont="1" applyAlignment="1">
      <alignment horizontal="center"/>
    </xf>
    <xf numFmtId="1" fontId="2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center"/>
    </xf>
    <xf numFmtId="49" fontId="2" fillId="0" borderId="0" xfId="1" applyNumberFormat="1" applyFont="1" applyAlignment="1">
      <alignment horizontal="left"/>
    </xf>
    <xf numFmtId="164" fontId="3" fillId="0" borderId="0" xfId="1" applyNumberFormat="1" applyFont="1" applyAlignment="1">
      <alignment vertical="center"/>
    </xf>
    <xf numFmtId="164" fontId="3" fillId="0" borderId="19" xfId="1" applyNumberFormat="1" applyFont="1" applyBorder="1" applyAlignment="1">
      <alignment horizontal="center" vertical="center"/>
    </xf>
    <xf numFmtId="1" fontId="3" fillId="0" borderId="13" xfId="1" applyNumberFormat="1" applyFont="1" applyBorder="1" applyAlignment="1">
      <alignment horizontal="center" vertical="center"/>
    </xf>
    <xf numFmtId="164" fontId="3" fillId="0" borderId="13" xfId="1" applyNumberFormat="1" applyFont="1" applyBorder="1" applyAlignment="1">
      <alignment horizontal="center" vertical="center"/>
    </xf>
    <xf numFmtId="164" fontId="3" fillId="0" borderId="3" xfId="1" applyNumberFormat="1" applyFont="1" applyBorder="1" applyAlignment="1">
      <alignment vertical="center"/>
    </xf>
    <xf numFmtId="164" fontId="3" fillId="0" borderId="1" xfId="1" applyNumberFormat="1" applyFont="1" applyBorder="1"/>
    <xf numFmtId="164" fontId="3" fillId="0" borderId="17" xfId="1" applyNumberFormat="1" applyFont="1" applyBorder="1" applyAlignment="1">
      <alignment vertical="center"/>
    </xf>
    <xf numFmtId="164" fontId="3" fillId="0" borderId="0" xfId="1" applyNumberFormat="1" applyFont="1" applyAlignment="1">
      <alignment horizontal="left"/>
    </xf>
    <xf numFmtId="164" fontId="3" fillId="0" borderId="0" xfId="1" applyNumberFormat="1" applyFont="1" applyAlignment="1">
      <alignment horizontal="center"/>
    </xf>
    <xf numFmtId="164" fontId="3" fillId="0" borderId="0" xfId="1" applyNumberFormat="1" applyFont="1"/>
    <xf numFmtId="1" fontId="3" fillId="0" borderId="0" xfId="1" applyNumberFormat="1" applyFont="1" applyAlignment="1">
      <alignment horizontal="left"/>
    </xf>
    <xf numFmtId="2" fontId="3" fillId="0" borderId="0" xfId="1" applyNumberFormat="1" applyFont="1" applyAlignment="1">
      <alignment horizontal="left"/>
    </xf>
    <xf numFmtId="164" fontId="3" fillId="0" borderId="10" xfId="1" applyNumberFormat="1" applyFont="1" applyBorder="1" applyAlignment="1">
      <alignment vertical="center"/>
    </xf>
    <xf numFmtId="164" fontId="3" fillId="0" borderId="2" xfId="1" applyNumberFormat="1" applyFont="1" applyBorder="1" applyAlignment="1">
      <alignment vertical="center"/>
    </xf>
    <xf numFmtId="164" fontId="3" fillId="0" borderId="2" xfId="1" applyNumberFormat="1" applyFont="1" applyBorder="1" applyAlignment="1">
      <alignment horizontal="center" vertical="center"/>
    </xf>
    <xf numFmtId="164" fontId="3" fillId="0" borderId="2" xfId="1" applyNumberFormat="1" applyFont="1" applyBorder="1" applyAlignment="1">
      <alignment horizontal="left" wrapText="1"/>
    </xf>
    <xf numFmtId="1" fontId="5" fillId="0" borderId="16" xfId="1" applyNumberFormat="1" applyFont="1" applyBorder="1" applyAlignment="1">
      <alignment horizontal="center" vertical="center"/>
    </xf>
    <xf numFmtId="164" fontId="11" fillId="0" borderId="0" xfId="1" applyNumberFormat="1" applyFont="1" applyAlignment="1">
      <alignment horizontal="left"/>
    </xf>
    <xf numFmtId="164" fontId="3" fillId="0" borderId="1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left"/>
    </xf>
    <xf numFmtId="1" fontId="2" fillId="0" borderId="2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left"/>
    </xf>
    <xf numFmtId="1" fontId="5" fillId="0" borderId="21" xfId="1" applyNumberFormat="1" applyFont="1" applyBorder="1" applyAlignment="1">
      <alignment horizontal="center" vertical="center"/>
    </xf>
    <xf numFmtId="1" fontId="5" fillId="0" borderId="25" xfId="1" applyNumberFormat="1" applyFont="1" applyBorder="1" applyAlignment="1">
      <alignment horizontal="center" vertical="center"/>
    </xf>
    <xf numFmtId="1" fontId="9" fillId="0" borderId="27" xfId="1" applyNumberFormat="1" applyFont="1" applyBorder="1" applyAlignment="1">
      <alignment horizontal="center" vertical="center"/>
    </xf>
    <xf numFmtId="1" fontId="7" fillId="0" borderId="15" xfId="2" applyNumberFormat="1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9" fillId="0" borderId="27" xfId="1" applyFont="1" applyBorder="1" applyAlignment="1">
      <alignment horizontal="center" vertical="center" textRotation="90" wrapText="1"/>
    </xf>
    <xf numFmtId="1" fontId="5" fillId="0" borderId="31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1" fontId="5" fillId="0" borderId="32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33" xfId="1" applyNumberFormat="1" applyFont="1" applyBorder="1" applyAlignment="1">
      <alignment horizontal="center" vertical="center"/>
    </xf>
    <xf numFmtId="1" fontId="5" fillId="0" borderId="26" xfId="1" applyNumberFormat="1" applyFont="1" applyBorder="1" applyAlignment="1">
      <alignment horizontal="center" vertical="center"/>
    </xf>
    <xf numFmtId="1" fontId="5" fillId="0" borderId="34" xfId="1" applyNumberFormat="1" applyFont="1" applyBorder="1" applyAlignment="1">
      <alignment horizontal="center" vertical="center"/>
    </xf>
    <xf numFmtId="1" fontId="5" fillId="0" borderId="37" xfId="1" applyNumberFormat="1" applyFont="1" applyBorder="1" applyAlignment="1">
      <alignment horizontal="center" vertical="center"/>
    </xf>
    <xf numFmtId="1" fontId="5" fillId="0" borderId="38" xfId="1" applyNumberFormat="1" applyFont="1" applyBorder="1" applyAlignment="1">
      <alignment horizontal="center" vertical="center"/>
    </xf>
    <xf numFmtId="164" fontId="5" fillId="0" borderId="22" xfId="1" applyNumberFormat="1" applyFont="1" applyBorder="1" applyAlignment="1">
      <alignment horizontal="center" vertical="center"/>
    </xf>
    <xf numFmtId="164" fontId="5" fillId="0" borderId="23" xfId="1" applyNumberFormat="1" applyFont="1" applyBorder="1" applyAlignment="1">
      <alignment horizontal="center" vertical="center"/>
    </xf>
    <xf numFmtId="164" fontId="5" fillId="0" borderId="26" xfId="1" applyNumberFormat="1" applyFont="1" applyBorder="1" applyAlignment="1">
      <alignment horizontal="center" vertical="center"/>
    </xf>
    <xf numFmtId="1" fontId="5" fillId="0" borderId="43" xfId="1" applyNumberFormat="1" applyFont="1" applyBorder="1" applyAlignment="1">
      <alignment horizontal="center" vertical="center"/>
    </xf>
    <xf numFmtId="1" fontId="9" fillId="0" borderId="20" xfId="1" applyNumberFormat="1" applyFont="1" applyBorder="1" applyAlignment="1">
      <alignment horizontal="center" vertical="center"/>
    </xf>
    <xf numFmtId="1" fontId="9" fillId="0" borderId="44" xfId="1" applyNumberFormat="1" applyFont="1" applyBorder="1" applyAlignment="1">
      <alignment horizontal="center" vertical="center"/>
    </xf>
    <xf numFmtId="1" fontId="5" fillId="0" borderId="39" xfId="1" applyNumberFormat="1" applyFont="1" applyBorder="1" applyAlignment="1">
      <alignment horizontal="center" vertical="center"/>
    </xf>
    <xf numFmtId="1" fontId="5" fillId="0" borderId="46" xfId="1" applyNumberFormat="1" applyFont="1" applyBorder="1" applyAlignment="1">
      <alignment horizontal="center" vertical="center"/>
    </xf>
    <xf numFmtId="1" fontId="5" fillId="0" borderId="45" xfId="1" applyNumberFormat="1" applyFont="1" applyBorder="1" applyAlignment="1">
      <alignment horizontal="center" vertical="center"/>
    </xf>
    <xf numFmtId="1" fontId="9" fillId="0" borderId="24" xfId="1" applyNumberFormat="1" applyFont="1" applyBorder="1" applyAlignment="1">
      <alignment horizontal="center" vertical="center"/>
    </xf>
    <xf numFmtId="1" fontId="9" fillId="0" borderId="28" xfId="1" applyNumberFormat="1" applyFont="1" applyBorder="1" applyAlignment="1">
      <alignment horizontal="center" vertical="center"/>
    </xf>
    <xf numFmtId="1" fontId="10" fillId="0" borderId="24" xfId="2" applyNumberFormat="1" applyFont="1" applyBorder="1" applyAlignment="1">
      <alignment vertical="center"/>
    </xf>
    <xf numFmtId="1" fontId="10" fillId="0" borderId="20" xfId="2" applyNumberFormat="1" applyFont="1" applyBorder="1" applyAlignment="1">
      <alignment vertical="center"/>
    </xf>
    <xf numFmtId="1" fontId="5" fillId="0" borderId="35" xfId="1" applyNumberFormat="1" applyFont="1" applyBorder="1" applyAlignment="1">
      <alignment horizontal="center" vertical="center"/>
    </xf>
    <xf numFmtId="1" fontId="5" fillId="0" borderId="36" xfId="1" applyNumberFormat="1" applyFont="1" applyBorder="1" applyAlignment="1">
      <alignment horizontal="center" vertical="center"/>
    </xf>
    <xf numFmtId="1" fontId="5" fillId="0" borderId="42" xfId="1" applyNumberFormat="1" applyFont="1" applyBorder="1" applyAlignment="1">
      <alignment horizontal="center" vertical="center"/>
    </xf>
    <xf numFmtId="164" fontId="5" fillId="0" borderId="38" xfId="1" applyNumberFormat="1" applyFont="1" applyBorder="1" applyAlignment="1">
      <alignment horizontal="center" vertical="center"/>
    </xf>
    <xf numFmtId="1" fontId="3" fillId="3" borderId="13" xfId="1" applyNumberFormat="1" applyFont="1" applyFill="1" applyBorder="1" applyAlignment="1">
      <alignment horizontal="center" vertical="center"/>
    </xf>
    <xf numFmtId="1" fontId="10" fillId="0" borderId="41" xfId="2" applyNumberFormat="1" applyFont="1" applyBorder="1" applyAlignment="1">
      <alignment vertical="center"/>
    </xf>
    <xf numFmtId="0" fontId="8" fillId="0" borderId="13" xfId="1" applyFont="1" applyBorder="1" applyAlignment="1">
      <alignment vertical="center" textRotation="90"/>
    </xf>
    <xf numFmtId="1" fontId="10" fillId="0" borderId="27" xfId="2" applyNumberFormat="1" applyFont="1" applyBorder="1" applyAlignment="1">
      <alignment vertical="center"/>
    </xf>
    <xf numFmtId="1" fontId="10" fillId="0" borderId="28" xfId="2" applyNumberFormat="1" applyFont="1" applyBorder="1" applyAlignment="1">
      <alignment vertical="center"/>
    </xf>
    <xf numFmtId="0" fontId="9" fillId="0" borderId="24" xfId="1" applyFont="1" applyBorder="1" applyAlignment="1">
      <alignment horizontal="center" vertical="center" textRotation="90" wrapText="1"/>
    </xf>
    <xf numFmtId="1" fontId="5" fillId="0" borderId="48" xfId="1" applyNumberFormat="1" applyFont="1" applyBorder="1" applyAlignment="1">
      <alignment horizontal="center" vertical="center"/>
    </xf>
    <xf numFmtId="164" fontId="3" fillId="0" borderId="10" xfId="1" applyNumberFormat="1" applyFont="1" applyBorder="1" applyAlignment="1">
      <alignment horizontal="center" vertical="center"/>
    </xf>
    <xf numFmtId="164" fontId="5" fillId="0" borderId="45" xfId="1" applyNumberFormat="1" applyFont="1" applyBorder="1" applyAlignment="1">
      <alignment horizontal="center" vertical="center"/>
    </xf>
    <xf numFmtId="1" fontId="10" fillId="0" borderId="29" xfId="2" applyNumberFormat="1" applyFont="1" applyBorder="1" applyAlignment="1">
      <alignment vertical="center"/>
    </xf>
    <xf numFmtId="1" fontId="10" fillId="0" borderId="30" xfId="2" applyNumberFormat="1" applyFont="1" applyBorder="1" applyAlignment="1">
      <alignment vertical="center"/>
    </xf>
    <xf numFmtId="1" fontId="10" fillId="0" borderId="44" xfId="2" applyNumberFormat="1" applyFont="1" applyBorder="1" applyAlignment="1">
      <alignment vertical="center"/>
    </xf>
    <xf numFmtId="0" fontId="5" fillId="0" borderId="9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1" fontId="5" fillId="0" borderId="47" xfId="1" applyNumberFormat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 textRotation="90" wrapText="1"/>
    </xf>
    <xf numFmtId="1" fontId="10" fillId="0" borderId="57" xfId="2" applyNumberFormat="1" applyFont="1" applyBorder="1" applyAlignment="1">
      <alignment vertical="center"/>
    </xf>
    <xf numFmtId="1" fontId="9" fillId="0" borderId="58" xfId="1" applyNumberFormat="1" applyFont="1" applyBorder="1" applyAlignment="1">
      <alignment horizontal="center" vertical="center"/>
    </xf>
    <xf numFmtId="1" fontId="9" fillId="0" borderId="59" xfId="1" applyNumberFormat="1" applyFont="1" applyBorder="1" applyAlignment="1">
      <alignment horizontal="center" vertical="center"/>
    </xf>
    <xf numFmtId="1" fontId="9" fillId="0" borderId="60" xfId="1" applyNumberFormat="1" applyFont="1" applyBorder="1" applyAlignment="1">
      <alignment horizontal="center" vertical="center"/>
    </xf>
    <xf numFmtId="1" fontId="9" fillId="0" borderId="41" xfId="1" applyNumberFormat="1" applyFont="1" applyBorder="1" applyAlignment="1">
      <alignment horizontal="center" vertical="center"/>
    </xf>
    <xf numFmtId="0" fontId="9" fillId="0" borderId="20" xfId="1" applyFont="1" applyBorder="1" applyAlignment="1">
      <alignment horizontal="center" vertical="center" textRotation="90" wrapText="1"/>
    </xf>
    <xf numFmtId="1" fontId="9" fillId="0" borderId="56" xfId="1" applyNumberFormat="1" applyFont="1" applyBorder="1" applyAlignment="1">
      <alignment horizontal="center" vertical="center"/>
    </xf>
    <xf numFmtId="1" fontId="5" fillId="0" borderId="63" xfId="1" applyNumberFormat="1" applyFont="1" applyBorder="1" applyAlignment="1">
      <alignment horizontal="center" vertical="center"/>
    </xf>
    <xf numFmtId="1" fontId="5" fillId="0" borderId="62" xfId="1" applyNumberFormat="1" applyFont="1" applyBorder="1" applyAlignment="1">
      <alignment horizontal="center" vertical="center"/>
    </xf>
    <xf numFmtId="1" fontId="5" fillId="0" borderId="61" xfId="1" applyNumberFormat="1" applyFont="1" applyBorder="1" applyAlignment="1">
      <alignment horizontal="center" vertical="center"/>
    </xf>
    <xf numFmtId="164" fontId="5" fillId="0" borderId="62" xfId="1" applyNumberFormat="1" applyFont="1" applyBorder="1" applyAlignment="1">
      <alignment horizontal="center" vertical="center"/>
    </xf>
    <xf numFmtId="1" fontId="5" fillId="0" borderId="54" xfId="1" applyNumberFormat="1" applyFont="1" applyBorder="1" applyAlignment="1">
      <alignment horizontal="center" vertical="center"/>
    </xf>
    <xf numFmtId="0" fontId="9" fillId="0" borderId="52" xfId="1" applyFont="1" applyBorder="1" applyAlignment="1">
      <alignment horizontal="center" vertical="center" textRotation="90" wrapText="1"/>
    </xf>
    <xf numFmtId="0" fontId="9" fillId="0" borderId="49" xfId="1" applyFont="1" applyBorder="1" applyAlignment="1">
      <alignment horizontal="center" vertical="center" textRotation="90" wrapText="1"/>
    </xf>
    <xf numFmtId="0" fontId="9" fillId="0" borderId="50" xfId="1" applyFont="1" applyBorder="1" applyAlignment="1">
      <alignment horizontal="center" vertical="center" textRotation="90" wrapText="1"/>
    </xf>
    <xf numFmtId="1" fontId="5" fillId="0" borderId="51" xfId="1" applyNumberFormat="1" applyFont="1" applyBorder="1" applyAlignment="1">
      <alignment horizontal="center" vertical="center"/>
    </xf>
    <xf numFmtId="1" fontId="5" fillId="0" borderId="65" xfId="1" applyNumberFormat="1" applyFont="1" applyBorder="1" applyAlignment="1">
      <alignment horizontal="center" vertical="center"/>
    </xf>
    <xf numFmtId="1" fontId="5" fillId="0" borderId="66" xfId="1" applyNumberFormat="1" applyFont="1" applyBorder="1" applyAlignment="1">
      <alignment horizontal="center" vertical="center"/>
    </xf>
    <xf numFmtId="164" fontId="5" fillId="0" borderId="65" xfId="1" applyNumberFormat="1" applyFont="1" applyBorder="1" applyAlignment="1">
      <alignment horizontal="center" vertical="center"/>
    </xf>
    <xf numFmtId="1" fontId="9" fillId="0" borderId="11" xfId="1" applyNumberFormat="1" applyFont="1" applyBorder="1" applyAlignment="1">
      <alignment horizontal="center" vertical="center"/>
    </xf>
    <xf numFmtId="1" fontId="5" fillId="0" borderId="7" xfId="1" applyNumberFormat="1" applyFont="1" applyBorder="1" applyAlignment="1">
      <alignment horizontal="center" vertical="center"/>
    </xf>
    <xf numFmtId="1" fontId="5" fillId="0" borderId="4" xfId="1" applyNumberFormat="1" applyFont="1" applyBorder="1" applyAlignment="1">
      <alignment horizontal="center" vertical="center"/>
    </xf>
    <xf numFmtId="164" fontId="5" fillId="0" borderId="6" xfId="1" applyNumberFormat="1" applyFont="1" applyBorder="1" applyAlignment="1">
      <alignment horizontal="center" vertical="center"/>
    </xf>
    <xf numFmtId="1" fontId="10" fillId="0" borderId="14" xfId="2" applyNumberFormat="1" applyFont="1" applyBorder="1" applyAlignment="1">
      <alignment vertical="center"/>
    </xf>
    <xf numFmtId="1" fontId="5" fillId="0" borderId="6" xfId="1" applyNumberFormat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 textRotation="90"/>
    </xf>
    <xf numFmtId="1" fontId="10" fillId="0" borderId="64" xfId="2" applyNumberFormat="1" applyFont="1" applyBorder="1" applyAlignment="1">
      <alignment vertical="center"/>
    </xf>
    <xf numFmtId="1" fontId="9" fillId="0" borderId="30" xfId="1" applyNumberFormat="1" applyFont="1" applyBorder="1" applyAlignment="1">
      <alignment horizontal="center" vertical="center"/>
    </xf>
    <xf numFmtId="1" fontId="9" fillId="0" borderId="31" xfId="1" applyNumberFormat="1" applyFont="1" applyBorder="1" applyAlignment="1">
      <alignment horizontal="center" vertical="center"/>
    </xf>
    <xf numFmtId="1" fontId="9" fillId="0" borderId="32" xfId="1" applyNumberFormat="1" applyFont="1" applyBorder="1" applyAlignment="1">
      <alignment horizontal="center" vertical="center"/>
    </xf>
    <xf numFmtId="1" fontId="9" fillId="0" borderId="33" xfId="1" applyNumberFormat="1" applyFont="1" applyBorder="1" applyAlignment="1">
      <alignment horizontal="center" vertical="center"/>
    </xf>
    <xf numFmtId="1" fontId="9" fillId="0" borderId="29" xfId="1" applyNumberFormat="1" applyFont="1" applyBorder="1" applyAlignment="1">
      <alignment horizontal="center" vertical="center"/>
    </xf>
    <xf numFmtId="1" fontId="9" fillId="0" borderId="57" xfId="1" applyNumberFormat="1" applyFont="1" applyBorder="1" applyAlignment="1">
      <alignment horizontal="center" vertical="center"/>
    </xf>
    <xf numFmtId="1" fontId="9" fillId="0" borderId="8" xfId="1" applyNumberFormat="1" applyFont="1" applyBorder="1" applyAlignment="1">
      <alignment horizontal="center" vertical="center"/>
    </xf>
    <xf numFmtId="164" fontId="5" fillId="0" borderId="67" xfId="1" applyNumberFormat="1" applyFont="1" applyBorder="1" applyAlignment="1">
      <alignment horizontal="center" vertical="center"/>
    </xf>
    <xf numFmtId="164" fontId="5" fillId="0" borderId="53" xfId="1" applyNumberFormat="1" applyFont="1" applyBorder="1" applyAlignment="1">
      <alignment horizontal="center" vertical="center"/>
    </xf>
    <xf numFmtId="164" fontId="5" fillId="0" borderId="42" xfId="1" applyNumberFormat="1" applyFont="1" applyBorder="1" applyAlignment="1">
      <alignment horizontal="center" vertical="center"/>
    </xf>
    <xf numFmtId="1" fontId="5" fillId="0" borderId="68" xfId="1" applyNumberFormat="1" applyFont="1" applyBorder="1" applyAlignment="1">
      <alignment horizontal="center" vertical="center"/>
    </xf>
    <xf numFmtId="1" fontId="10" fillId="0" borderId="11" xfId="2" applyNumberFormat="1" applyFont="1" applyBorder="1" applyAlignment="1">
      <alignment vertical="center"/>
    </xf>
    <xf numFmtId="0" fontId="9" fillId="0" borderId="11" xfId="1" applyFont="1" applyBorder="1" applyAlignment="1">
      <alignment horizontal="center" vertical="center" textRotation="90" wrapText="1"/>
    </xf>
    <xf numFmtId="0" fontId="9" fillId="0" borderId="70" xfId="1" applyFont="1" applyBorder="1" applyAlignment="1">
      <alignment horizontal="center" vertical="center" textRotation="90" wrapText="1"/>
    </xf>
    <xf numFmtId="1" fontId="9" fillId="0" borderId="64" xfId="1" applyNumberFormat="1" applyFont="1" applyBorder="1" applyAlignment="1">
      <alignment horizontal="center" vertical="center"/>
    </xf>
    <xf numFmtId="0" fontId="5" fillId="4" borderId="24" xfId="1" applyFont="1" applyFill="1" applyBorder="1" applyAlignment="1">
      <alignment horizontal="center" vertical="center"/>
    </xf>
    <xf numFmtId="0" fontId="5" fillId="4" borderId="27" xfId="1" applyFont="1" applyFill="1" applyBorder="1" applyAlignment="1">
      <alignment horizontal="center" vertical="center"/>
    </xf>
    <xf numFmtId="0" fontId="5" fillId="4" borderId="28" xfId="1" applyFont="1" applyFill="1" applyBorder="1" applyAlignment="1">
      <alignment horizontal="center" vertical="center"/>
    </xf>
    <xf numFmtId="0" fontId="5" fillId="5" borderId="49" xfId="1" applyFont="1" applyFill="1" applyBorder="1" applyAlignment="1">
      <alignment horizontal="center" vertical="center"/>
    </xf>
    <xf numFmtId="0" fontId="5" fillId="5" borderId="50" xfId="1" applyFont="1" applyFill="1" applyBorder="1" applyAlignment="1">
      <alignment horizontal="center" vertical="center"/>
    </xf>
    <xf numFmtId="0" fontId="5" fillId="5" borderId="24" xfId="1" applyFont="1" applyFill="1" applyBorder="1" applyAlignment="1">
      <alignment horizontal="center" vertical="center"/>
    </xf>
    <xf numFmtId="0" fontId="5" fillId="5" borderId="27" xfId="1" applyFont="1" applyFill="1" applyBorder="1" applyAlignment="1">
      <alignment horizontal="center" vertical="center"/>
    </xf>
    <xf numFmtId="0" fontId="5" fillId="5" borderId="28" xfId="1" applyFont="1" applyFill="1" applyBorder="1" applyAlignment="1">
      <alignment horizontal="center" vertical="center"/>
    </xf>
    <xf numFmtId="0" fontId="5" fillId="6" borderId="55" xfId="1" applyFont="1" applyFill="1" applyBorder="1" applyAlignment="1">
      <alignment horizontal="center" vertical="center"/>
    </xf>
    <xf numFmtId="0" fontId="5" fillId="6" borderId="49" xfId="1" applyFont="1" applyFill="1" applyBorder="1" applyAlignment="1">
      <alignment horizontal="center" vertical="center"/>
    </xf>
    <xf numFmtId="0" fontId="5" fillId="6" borderId="50" xfId="1" applyFont="1" applyFill="1" applyBorder="1" applyAlignment="1">
      <alignment horizontal="center" vertical="center"/>
    </xf>
    <xf numFmtId="0" fontId="5" fillId="6" borderId="52" xfId="1" applyFont="1" applyFill="1" applyBorder="1" applyAlignment="1">
      <alignment horizontal="center" vertical="center"/>
    </xf>
    <xf numFmtId="1" fontId="7" fillId="7" borderId="24" xfId="2" applyNumberFormat="1" applyFont="1" applyFill="1" applyBorder="1" applyAlignment="1">
      <alignment horizontal="center" vertical="center"/>
    </xf>
    <xf numFmtId="1" fontId="7" fillId="7" borderId="27" xfId="2" applyNumberFormat="1" applyFont="1" applyFill="1" applyBorder="1" applyAlignment="1">
      <alignment horizontal="center" vertical="center"/>
    </xf>
    <xf numFmtId="1" fontId="7" fillId="7" borderId="28" xfId="2" applyNumberFormat="1" applyFont="1" applyFill="1" applyBorder="1" applyAlignment="1">
      <alignment horizontal="center" vertical="center"/>
    </xf>
    <xf numFmtId="1" fontId="7" fillId="7" borderId="11" xfId="2" applyNumberFormat="1" applyFont="1" applyFill="1" applyBorder="1" applyAlignment="1">
      <alignment horizontal="center" vertical="center"/>
    </xf>
    <xf numFmtId="1" fontId="7" fillId="7" borderId="44" xfId="2" applyNumberFormat="1" applyFont="1" applyFill="1" applyBorder="1" applyAlignment="1">
      <alignment horizontal="center" vertical="center"/>
    </xf>
    <xf numFmtId="1" fontId="7" fillId="8" borderId="24" xfId="2" applyNumberFormat="1" applyFont="1" applyFill="1" applyBorder="1" applyAlignment="1">
      <alignment horizontal="center" vertical="center"/>
    </xf>
    <xf numFmtId="1" fontId="7" fillId="8" borderId="28" xfId="2" applyNumberFormat="1" applyFont="1" applyFill="1" applyBorder="1" applyAlignment="1">
      <alignment horizontal="center" vertical="center"/>
    </xf>
    <xf numFmtId="1" fontId="7" fillId="8" borderId="27" xfId="2" applyNumberFormat="1" applyFont="1" applyFill="1" applyBorder="1" applyAlignment="1">
      <alignment horizontal="center" vertical="center"/>
    </xf>
    <xf numFmtId="1" fontId="7" fillId="8" borderId="41" xfId="2" applyNumberFormat="1" applyFont="1" applyFill="1" applyBorder="1" applyAlignment="1">
      <alignment horizontal="center" vertical="center"/>
    </xf>
    <xf numFmtId="1" fontId="7" fillId="8" borderId="44" xfId="2" applyNumberFormat="1" applyFont="1" applyFill="1" applyBorder="1" applyAlignment="1">
      <alignment horizontal="center" vertical="center"/>
    </xf>
    <xf numFmtId="1" fontId="7" fillId="9" borderId="24" xfId="2" applyNumberFormat="1" applyFont="1" applyFill="1" applyBorder="1" applyAlignment="1">
      <alignment horizontal="center" vertical="center"/>
    </xf>
    <xf numFmtId="1" fontId="7" fillId="9" borderId="27" xfId="2" applyNumberFormat="1" applyFont="1" applyFill="1" applyBorder="1" applyAlignment="1">
      <alignment horizontal="center" vertical="center"/>
    </xf>
    <xf numFmtId="1" fontId="7" fillId="9" borderId="28" xfId="2" applyNumberFormat="1" applyFont="1" applyFill="1" applyBorder="1" applyAlignment="1">
      <alignment horizontal="center" vertical="center"/>
    </xf>
    <xf numFmtId="1" fontId="7" fillId="10" borderId="55" xfId="2" applyNumberFormat="1" applyFont="1" applyFill="1" applyBorder="1" applyAlignment="1">
      <alignment horizontal="center" vertical="center"/>
    </xf>
    <xf numFmtId="1" fontId="7" fillId="11" borderId="24" xfId="2" applyNumberFormat="1" applyFont="1" applyFill="1" applyBorder="1" applyAlignment="1">
      <alignment horizontal="center" vertical="center"/>
    </xf>
    <xf numFmtId="1" fontId="7" fillId="11" borderId="20" xfId="2" applyNumberFormat="1" applyFont="1" applyFill="1" applyBorder="1" applyAlignment="1">
      <alignment horizontal="center" vertical="center"/>
    </xf>
    <xf numFmtId="1" fontId="7" fillId="11" borderId="13" xfId="2" applyNumberFormat="1" applyFont="1" applyFill="1" applyBorder="1" applyAlignment="1">
      <alignment horizontal="center" vertical="center"/>
    </xf>
    <xf numFmtId="1" fontId="7" fillId="12" borderId="24" xfId="2" applyNumberFormat="1" applyFont="1" applyFill="1" applyBorder="1" applyAlignment="1">
      <alignment horizontal="center" vertical="center"/>
    </xf>
    <xf numFmtId="1" fontId="7" fillId="12" borderId="27" xfId="2" applyNumberFormat="1" applyFont="1" applyFill="1" applyBorder="1" applyAlignment="1">
      <alignment horizontal="center" vertical="center"/>
    </xf>
    <xf numFmtId="1" fontId="7" fillId="12" borderId="28" xfId="2" applyNumberFormat="1" applyFont="1" applyFill="1" applyBorder="1" applyAlignment="1">
      <alignment horizontal="center" vertical="center"/>
    </xf>
    <xf numFmtId="164" fontId="3" fillId="0" borderId="0" xfId="1" applyNumberFormat="1" applyFont="1" applyAlignment="1">
      <alignment horizontal="left" vertical="center"/>
    </xf>
    <xf numFmtId="164" fontId="3" fillId="0" borderId="18" xfId="1" applyNumberFormat="1" applyFont="1" applyBorder="1" applyAlignment="1">
      <alignment horizontal="left" vertical="center"/>
    </xf>
    <xf numFmtId="164" fontId="3" fillId="0" borderId="18" xfId="1" applyNumberFormat="1" applyFont="1" applyBorder="1" applyAlignment="1">
      <alignment vertical="center"/>
    </xf>
    <xf numFmtId="1" fontId="3" fillId="0" borderId="0" xfId="1" applyNumberFormat="1" applyFont="1" applyAlignment="1">
      <alignment horizontal="center" vertical="center"/>
    </xf>
    <xf numFmtId="1" fontId="9" fillId="0" borderId="0" xfId="1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0" fontId="9" fillId="0" borderId="0" xfId="1" applyFont="1" applyAlignment="1">
      <alignment horizontal="center"/>
    </xf>
    <xf numFmtId="1" fontId="5" fillId="3" borderId="22" xfId="1" applyNumberFormat="1" applyFont="1" applyFill="1" applyBorder="1" applyAlignment="1">
      <alignment horizontal="center" vertical="center"/>
    </xf>
    <xf numFmtId="1" fontId="5" fillId="3" borderId="23" xfId="1" applyNumberFormat="1" applyFont="1" applyFill="1" applyBorder="1" applyAlignment="1">
      <alignment horizontal="center" vertical="center"/>
    </xf>
    <xf numFmtId="1" fontId="5" fillId="3" borderId="26" xfId="1" applyNumberFormat="1" applyFont="1" applyFill="1" applyBorder="1" applyAlignment="1">
      <alignment horizontal="center" vertical="center"/>
    </xf>
    <xf numFmtId="1" fontId="5" fillId="3" borderId="35" xfId="1" applyNumberFormat="1" applyFont="1" applyFill="1" applyBorder="1" applyAlignment="1">
      <alignment horizontal="center" vertical="center"/>
    </xf>
    <xf numFmtId="1" fontId="5" fillId="3" borderId="36" xfId="1" applyNumberFormat="1" applyFont="1" applyFill="1" applyBorder="1" applyAlignment="1">
      <alignment horizontal="center" vertical="center"/>
    </xf>
    <xf numFmtId="1" fontId="5" fillId="3" borderId="42" xfId="1" applyNumberFormat="1" applyFont="1" applyFill="1" applyBorder="1" applyAlignment="1">
      <alignment horizontal="center" vertical="center"/>
    </xf>
    <xf numFmtId="1" fontId="5" fillId="3" borderId="45" xfId="1" applyNumberFormat="1" applyFont="1" applyFill="1" applyBorder="1" applyAlignment="1">
      <alignment horizontal="center" vertical="center"/>
    </xf>
    <xf numFmtId="1" fontId="5" fillId="3" borderId="40" xfId="1" applyNumberFormat="1" applyFont="1" applyFill="1" applyBorder="1" applyAlignment="1">
      <alignment horizontal="center" vertical="center"/>
    </xf>
    <xf numFmtId="1" fontId="5" fillId="3" borderId="69" xfId="1" applyNumberFormat="1" applyFont="1" applyFill="1" applyBorder="1" applyAlignment="1">
      <alignment horizontal="center" vertical="center"/>
    </xf>
    <xf numFmtId="1" fontId="5" fillId="3" borderId="53" xfId="1" applyNumberFormat="1" applyFont="1" applyFill="1" applyBorder="1" applyAlignment="1">
      <alignment horizontal="center" vertical="center"/>
    </xf>
    <xf numFmtId="1" fontId="5" fillId="3" borderId="38" xfId="1" applyNumberFormat="1" applyFont="1" applyFill="1" applyBorder="1" applyAlignment="1">
      <alignment horizontal="center" vertical="center"/>
    </xf>
    <xf numFmtId="1" fontId="5" fillId="3" borderId="6" xfId="1" applyNumberFormat="1" applyFont="1" applyFill="1" applyBorder="1" applyAlignment="1">
      <alignment horizontal="center" vertical="center"/>
    </xf>
    <xf numFmtId="1" fontId="9" fillId="0" borderId="29" xfId="1" applyNumberFormat="1" applyFont="1" applyBorder="1" applyAlignment="1">
      <alignment horizontal="center" vertical="center" wrapText="1"/>
    </xf>
    <xf numFmtId="1" fontId="9" fillId="0" borderId="30" xfId="1" applyNumberFormat="1" applyFont="1" applyBorder="1" applyAlignment="1">
      <alignment horizontal="center" vertical="center" wrapText="1"/>
    </xf>
    <xf numFmtId="1" fontId="9" fillId="0" borderId="57" xfId="1" applyNumberFormat="1" applyFont="1" applyBorder="1" applyAlignment="1">
      <alignment horizontal="center" vertical="center" wrapText="1"/>
    </xf>
    <xf numFmtId="1" fontId="9" fillId="0" borderId="24" xfId="1" applyNumberFormat="1" applyFont="1" applyBorder="1" applyAlignment="1">
      <alignment horizontal="center" vertical="center" wrapText="1"/>
    </xf>
    <xf numFmtId="1" fontId="9" fillId="0" borderId="27" xfId="1" applyNumberFormat="1" applyFont="1" applyBorder="1" applyAlignment="1">
      <alignment horizontal="center" vertical="center" wrapText="1"/>
    </xf>
    <xf numFmtId="1" fontId="9" fillId="0" borderId="28" xfId="1" applyNumberFormat="1" applyFont="1" applyBorder="1" applyAlignment="1">
      <alignment horizontal="center" vertical="center" wrapText="1"/>
    </xf>
    <xf numFmtId="1" fontId="9" fillId="0" borderId="22" xfId="1" applyNumberFormat="1" applyFont="1" applyBorder="1" applyAlignment="1">
      <alignment horizontal="center" vertical="center"/>
    </xf>
    <xf numFmtId="1" fontId="9" fillId="0" borderId="23" xfId="1" applyNumberFormat="1" applyFont="1" applyBorder="1" applyAlignment="1">
      <alignment horizontal="center" vertical="center"/>
    </xf>
    <xf numFmtId="1" fontId="9" fillId="0" borderId="49" xfId="1" applyNumberFormat="1" applyFont="1" applyBorder="1" applyAlignment="1">
      <alignment horizontal="center" vertical="center"/>
    </xf>
    <xf numFmtId="164" fontId="5" fillId="0" borderId="35" xfId="1" applyNumberFormat="1" applyFont="1" applyBorder="1" applyAlignment="1">
      <alignment horizontal="center" vertical="center"/>
    </xf>
    <xf numFmtId="164" fontId="5" fillId="0" borderId="36" xfId="1" applyNumberFormat="1" applyFont="1" applyBorder="1" applyAlignment="1">
      <alignment horizontal="center" vertical="center"/>
    </xf>
    <xf numFmtId="1" fontId="5" fillId="0" borderId="71" xfId="1" applyNumberFormat="1" applyFont="1" applyBorder="1" applyAlignment="1">
      <alignment horizontal="center" vertical="center"/>
    </xf>
    <xf numFmtId="1" fontId="5" fillId="0" borderId="72" xfId="1" applyNumberFormat="1" applyFont="1" applyBorder="1" applyAlignment="1">
      <alignment horizontal="center" vertical="center"/>
    </xf>
    <xf numFmtId="1" fontId="5" fillId="3" borderId="73" xfId="1" applyNumberFormat="1" applyFont="1" applyFill="1" applyBorder="1" applyAlignment="1">
      <alignment horizontal="center" vertical="center"/>
    </xf>
    <xf numFmtId="1" fontId="9" fillId="0" borderId="52" xfId="1" applyNumberFormat="1" applyFont="1" applyBorder="1" applyAlignment="1">
      <alignment horizontal="center" vertical="center"/>
    </xf>
    <xf numFmtId="1" fontId="9" fillId="0" borderId="70" xfId="1" applyNumberFormat="1" applyFont="1" applyBorder="1" applyAlignment="1">
      <alignment horizontal="center" vertical="center"/>
    </xf>
    <xf numFmtId="1" fontId="10" fillId="0" borderId="74" xfId="2" applyNumberFormat="1" applyFont="1" applyBorder="1" applyAlignment="1">
      <alignment vertical="center"/>
    </xf>
    <xf numFmtId="1" fontId="9" fillId="0" borderId="50" xfId="1" applyNumberFormat="1" applyFont="1" applyBorder="1" applyAlignment="1">
      <alignment horizontal="center" vertical="center"/>
    </xf>
    <xf numFmtId="1" fontId="7" fillId="8" borderId="20" xfId="2" applyNumberFormat="1" applyFont="1" applyFill="1" applyBorder="1" applyAlignment="1">
      <alignment horizontal="center" vertical="center"/>
    </xf>
    <xf numFmtId="0" fontId="5" fillId="4" borderId="44" xfId="1" applyFont="1" applyFill="1" applyBorder="1" applyAlignment="1">
      <alignment horizontal="center" vertical="center"/>
    </xf>
    <xf numFmtId="0" fontId="5" fillId="5" borderId="55" xfId="1" applyFont="1" applyFill="1" applyBorder="1" applyAlignment="1">
      <alignment horizontal="center" vertical="center"/>
    </xf>
    <xf numFmtId="1" fontId="9" fillId="0" borderId="74" xfId="1" applyNumberFormat="1" applyFont="1" applyBorder="1" applyAlignment="1">
      <alignment horizontal="center" vertical="center"/>
    </xf>
    <xf numFmtId="1" fontId="9" fillId="0" borderId="38" xfId="1" applyNumberFormat="1" applyFont="1" applyBorder="1" applyAlignment="1">
      <alignment horizontal="center" vertical="center"/>
    </xf>
    <xf numFmtId="1" fontId="5" fillId="0" borderId="19" xfId="1" applyNumberFormat="1" applyFont="1" applyBorder="1" applyAlignment="1">
      <alignment horizontal="center" vertical="center"/>
    </xf>
    <xf numFmtId="1" fontId="5" fillId="0" borderId="75" xfId="1" applyNumberFormat="1" applyFont="1" applyBorder="1" applyAlignment="1">
      <alignment horizontal="center" vertical="center"/>
    </xf>
    <xf numFmtId="1" fontId="5" fillId="3" borderId="67" xfId="1" applyNumberFormat="1" applyFont="1" applyFill="1" applyBorder="1" applyAlignment="1">
      <alignment horizontal="center" vertical="center"/>
    </xf>
    <xf numFmtId="1" fontId="7" fillId="10" borderId="17" xfId="2" applyNumberFormat="1" applyFont="1" applyFill="1" applyBorder="1" applyAlignment="1">
      <alignment horizontal="center" vertical="center"/>
    </xf>
    <xf numFmtId="1" fontId="7" fillId="10" borderId="24" xfId="2" applyNumberFormat="1" applyFont="1" applyFill="1" applyBorder="1" applyAlignment="1">
      <alignment horizontal="center" vertical="center"/>
    </xf>
    <xf numFmtId="1" fontId="7" fillId="10" borderId="20" xfId="2" applyNumberFormat="1" applyFont="1" applyFill="1" applyBorder="1" applyAlignment="1">
      <alignment horizontal="center" vertical="center"/>
    </xf>
    <xf numFmtId="1" fontId="7" fillId="10" borderId="13" xfId="2" applyNumberFormat="1" applyFont="1" applyFill="1" applyBorder="1" applyAlignment="1">
      <alignment horizontal="center" vertical="center"/>
    </xf>
    <xf numFmtId="0" fontId="8" fillId="0" borderId="13" xfId="1" applyFont="1" applyBorder="1" applyAlignment="1">
      <alignment horizontal="center" vertical="center" textRotation="90"/>
    </xf>
    <xf numFmtId="1" fontId="9" fillId="0" borderId="13" xfId="1" applyNumberFormat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1" fontId="9" fillId="0" borderId="55" xfId="1" applyNumberFormat="1" applyFont="1" applyBorder="1" applyAlignment="1">
      <alignment horizontal="center" vertical="center"/>
    </xf>
    <xf numFmtId="1" fontId="9" fillId="0" borderId="76" xfId="1" applyNumberFormat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 textRotation="90" wrapText="1"/>
    </xf>
    <xf numFmtId="0" fontId="8" fillId="0" borderId="41" xfId="1" applyFont="1" applyBorder="1" applyAlignment="1">
      <alignment horizontal="center" vertical="center" textRotation="90" wrapText="1"/>
    </xf>
    <xf numFmtId="0" fontId="8" fillId="0" borderId="13" xfId="1" applyFont="1" applyBorder="1" applyAlignment="1">
      <alignment horizontal="center" vertical="center" textRotation="90" wrapText="1"/>
    </xf>
    <xf numFmtId="164" fontId="3" fillId="0" borderId="0" xfId="1" applyNumberFormat="1" applyFont="1" applyAlignment="1">
      <alignment horizontal="left"/>
    </xf>
    <xf numFmtId="1" fontId="9" fillId="0" borderId="12" xfId="1" applyNumberFormat="1" applyFont="1" applyBorder="1" applyAlignment="1">
      <alignment horizontal="center" vertical="center"/>
    </xf>
    <xf numFmtId="1" fontId="9" fillId="0" borderId="14" xfId="1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textRotation="90" wrapText="1"/>
    </xf>
    <xf numFmtId="0" fontId="9" fillId="0" borderId="56" xfId="1" applyFont="1" applyBorder="1" applyAlignment="1">
      <alignment horizontal="center" vertical="center" textRotation="90" wrapText="1"/>
    </xf>
    <xf numFmtId="0" fontId="8" fillId="0" borderId="8" xfId="1" applyFont="1" applyBorder="1" applyAlignment="1">
      <alignment horizontal="center" vertical="center" textRotation="90"/>
    </xf>
    <xf numFmtId="0" fontId="8" fillId="0" borderId="41" xfId="1" applyFont="1" applyBorder="1" applyAlignment="1">
      <alignment horizontal="center" vertical="center" textRotation="90"/>
    </xf>
    <xf numFmtId="0" fontId="8" fillId="0" borderId="13" xfId="1" applyFont="1" applyBorder="1" applyAlignment="1">
      <alignment horizontal="center" vertical="center" textRotation="90"/>
    </xf>
    <xf numFmtId="0" fontId="5" fillId="0" borderId="3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 textRotation="90"/>
    </xf>
    <xf numFmtId="1" fontId="9" fillId="0" borderId="17" xfId="1" applyNumberFormat="1" applyFont="1" applyBorder="1" applyAlignment="1">
      <alignment horizontal="center" vertical="center"/>
    </xf>
    <xf numFmtId="0" fontId="9" fillId="0" borderId="39" xfId="1" applyFont="1" applyBorder="1" applyAlignment="1">
      <alignment horizontal="center" vertical="center" textRotation="90" wrapText="1"/>
    </xf>
    <xf numFmtId="0" fontId="9" fillId="0" borderId="45" xfId="1" applyFont="1" applyBorder="1" applyAlignment="1">
      <alignment horizontal="center" vertical="center" textRotation="90" wrapText="1"/>
    </xf>
    <xf numFmtId="0" fontId="9" fillId="0" borderId="32" xfId="1" applyFont="1" applyBorder="1" applyAlignment="1">
      <alignment horizontal="center" vertical="center" textRotation="90" wrapText="1"/>
    </xf>
    <xf numFmtId="0" fontId="9" fillId="0" borderId="23" xfId="1" applyFont="1" applyBorder="1" applyAlignment="1">
      <alignment horizontal="center" vertical="center" textRotation="90" wrapText="1"/>
    </xf>
    <xf numFmtId="0" fontId="9" fillId="0" borderId="34" xfId="1" applyFont="1" applyBorder="1" applyAlignment="1">
      <alignment horizontal="center" vertical="center" textRotation="90" wrapText="1"/>
    </xf>
    <xf numFmtId="0" fontId="9" fillId="0" borderId="38" xfId="1" applyFont="1" applyBorder="1" applyAlignment="1">
      <alignment horizontal="center" vertical="center" textRotation="90" wrapText="1"/>
    </xf>
    <xf numFmtId="0" fontId="9" fillId="0" borderId="51" xfId="1" applyFont="1" applyBorder="1" applyAlignment="1">
      <alignment horizontal="center" vertical="center" textRotation="90" wrapText="1"/>
    </xf>
    <xf numFmtId="0" fontId="9" fillId="0" borderId="35" xfId="1" applyFont="1" applyBorder="1" applyAlignment="1">
      <alignment horizontal="center" vertical="center" textRotation="90" wrapText="1"/>
    </xf>
    <xf numFmtId="0" fontId="9" fillId="0" borderId="43" xfId="1" applyFont="1" applyBorder="1" applyAlignment="1">
      <alignment horizontal="center" vertical="center" textRotation="90" wrapText="1"/>
    </xf>
    <xf numFmtId="0" fontId="9" fillId="0" borderId="36" xfId="1" applyFont="1" applyBorder="1" applyAlignment="1">
      <alignment horizontal="center" vertical="center" textRotation="90" wrapText="1"/>
    </xf>
    <xf numFmtId="0" fontId="9" fillId="0" borderId="31" xfId="1" applyFont="1" applyBorder="1" applyAlignment="1">
      <alignment horizontal="center" vertical="center" textRotation="90" wrapText="1"/>
    </xf>
    <xf numFmtId="0" fontId="9" fillId="0" borderId="22" xfId="1" applyFont="1" applyBorder="1" applyAlignment="1">
      <alignment horizontal="center" vertical="center" textRotation="90" wrapText="1"/>
    </xf>
    <xf numFmtId="0" fontId="9" fillId="0" borderId="33" xfId="1" applyFont="1" applyBorder="1" applyAlignment="1">
      <alignment horizontal="center" vertical="center" textRotation="90" wrapText="1"/>
    </xf>
    <xf numFmtId="0" fontId="9" fillId="0" borderId="26" xfId="1" applyFont="1" applyBorder="1" applyAlignment="1">
      <alignment horizontal="center" vertical="center" textRotation="90" wrapText="1"/>
    </xf>
    <xf numFmtId="0" fontId="9" fillId="0" borderId="61" xfId="1" applyFont="1" applyBorder="1" applyAlignment="1">
      <alignment horizontal="center" vertical="center" textRotation="90" wrapText="1"/>
    </xf>
    <xf numFmtId="0" fontId="9" fillId="0" borderId="62" xfId="1" applyFont="1" applyBorder="1" applyAlignment="1">
      <alignment horizontal="center" vertical="center" textRotation="90" wrapText="1"/>
    </xf>
    <xf numFmtId="0" fontId="9" fillId="0" borderId="4" xfId="1" applyFont="1" applyBorder="1" applyAlignment="1">
      <alignment horizontal="center" vertical="center" textRotation="90" wrapText="1"/>
    </xf>
    <xf numFmtId="0" fontId="9" fillId="0" borderId="6" xfId="1" applyFont="1" applyBorder="1" applyAlignment="1">
      <alignment horizontal="center" vertical="center" textRotation="90" wrapText="1"/>
    </xf>
    <xf numFmtId="1" fontId="9" fillId="0" borderId="49" xfId="1" applyNumberFormat="1" applyFont="1" applyBorder="1" applyAlignment="1">
      <alignment horizontal="center" vertical="center"/>
    </xf>
    <xf numFmtId="1" fontId="9" fillId="0" borderId="30" xfId="1" applyNumberFormat="1" applyFont="1" applyBorder="1" applyAlignment="1">
      <alignment horizontal="center" vertical="center"/>
    </xf>
    <xf numFmtId="1" fontId="9" fillId="0" borderId="41" xfId="1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164" fontId="3" fillId="0" borderId="9" xfId="1" applyNumberFormat="1" applyFont="1" applyBorder="1" applyAlignment="1">
      <alignment horizontal="center"/>
    </xf>
    <xf numFmtId="164" fontId="3" fillId="0" borderId="10" xfId="1" applyNumberFormat="1" applyFont="1" applyBorder="1" applyAlignment="1">
      <alignment horizontal="center" vertical="center"/>
    </xf>
    <xf numFmtId="164" fontId="3" fillId="0" borderId="15" xfId="1" applyNumberFormat="1" applyFont="1" applyBorder="1" applyAlignment="1">
      <alignment horizontal="center" vertical="center"/>
    </xf>
    <xf numFmtId="0" fontId="9" fillId="0" borderId="48" xfId="1" applyFont="1" applyBorder="1" applyAlignment="1">
      <alignment horizontal="center" vertical="center" textRotation="90" wrapText="1"/>
    </xf>
    <xf numFmtId="0" fontId="9" fillId="0" borderId="42" xfId="1" applyFont="1" applyBorder="1" applyAlignment="1">
      <alignment horizontal="center" vertical="center" textRotation="90" wrapText="1"/>
    </xf>
    <xf numFmtId="0" fontId="9" fillId="0" borderId="9" xfId="1" applyFont="1" applyBorder="1" applyAlignment="1">
      <alignment horizontal="center" vertical="center" textRotation="90" wrapText="1"/>
    </xf>
    <xf numFmtId="0" fontId="9" fillId="0" borderId="18" xfId="1" applyFont="1" applyBorder="1" applyAlignment="1">
      <alignment horizontal="center" vertical="center" textRotation="90" wrapText="1"/>
    </xf>
    <xf numFmtId="1" fontId="9" fillId="0" borderId="8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 wrapText="1"/>
    </xf>
    <xf numFmtId="49" fontId="3" fillId="0" borderId="10" xfId="1" applyNumberFormat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1" fontId="3" fillId="0" borderId="4" xfId="1" applyNumberFormat="1" applyFont="1" applyBorder="1" applyAlignment="1">
      <alignment horizontal="center" vertical="center" wrapText="1"/>
    </xf>
    <xf numFmtId="1" fontId="3" fillId="0" borderId="7" xfId="1" applyNumberFormat="1" applyFont="1" applyBorder="1" applyAlignment="1">
      <alignment horizontal="center" vertical="center"/>
    </xf>
    <xf numFmtId="1" fontId="3" fillId="0" borderId="6" xfId="1" applyNumberFormat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center" vertical="center"/>
    </xf>
    <xf numFmtId="1" fontId="3" fillId="0" borderId="9" xfId="1" applyNumberFormat="1" applyFont="1" applyBorder="1" applyAlignment="1">
      <alignment horizontal="center" vertical="center"/>
    </xf>
    <xf numFmtId="49" fontId="13" fillId="2" borderId="8" xfId="1" applyNumberFormat="1" applyFont="1" applyFill="1" applyBorder="1" applyAlignment="1">
      <alignment horizontal="center" vertical="center" wrapText="1"/>
    </xf>
    <xf numFmtId="49" fontId="13" fillId="2" borderId="13" xfId="1" applyNumberFormat="1" applyFont="1" applyFill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textRotation="90" wrapText="1"/>
    </xf>
    <xf numFmtId="0" fontId="9" fillId="0" borderId="17" xfId="1" applyFont="1" applyBorder="1" applyAlignment="1">
      <alignment horizontal="center" vertical="center" textRotation="90" wrapText="1"/>
    </xf>
    <xf numFmtId="0" fontId="9" fillId="0" borderId="55" xfId="1" applyFont="1" applyBorder="1" applyAlignment="1">
      <alignment horizontal="center" vertical="center" textRotation="90" wrapText="1"/>
    </xf>
    <xf numFmtId="164" fontId="3" fillId="0" borderId="0" xfId="1" applyNumberFormat="1" applyFont="1" applyAlignment="1">
      <alignment horizontal="left" vertical="top"/>
    </xf>
    <xf numFmtId="164" fontId="3" fillId="0" borderId="18" xfId="1" applyNumberFormat="1" applyFont="1" applyBorder="1" applyAlignment="1">
      <alignment horizontal="left" vertical="top"/>
    </xf>
    <xf numFmtId="164" fontId="3" fillId="0" borderId="0" xfId="1" applyNumberFormat="1" applyFont="1" applyAlignment="1">
      <alignment horizontal="left" vertical="center"/>
    </xf>
    <xf numFmtId="164" fontId="3" fillId="0" borderId="18" xfId="1" applyNumberFormat="1" applyFont="1" applyBorder="1" applyAlignment="1">
      <alignment horizontal="left" vertical="center"/>
    </xf>
    <xf numFmtId="0" fontId="9" fillId="0" borderId="10" xfId="1" applyFont="1" applyBorder="1" applyAlignment="1">
      <alignment horizontal="center" vertical="center" textRotation="90" wrapText="1"/>
    </xf>
    <xf numFmtId="0" fontId="9" fillId="0" borderId="15" xfId="1" applyFont="1" applyBorder="1" applyAlignment="1">
      <alignment horizontal="center" vertical="center" textRotation="90" wrapText="1"/>
    </xf>
    <xf numFmtId="0" fontId="9" fillId="0" borderId="47" xfId="1" applyFont="1" applyBorder="1" applyAlignment="1">
      <alignment horizontal="center" vertical="center" textRotation="90" wrapText="1"/>
    </xf>
    <xf numFmtId="0" fontId="9" fillId="0" borderId="40" xfId="1" applyFont="1" applyBorder="1" applyAlignment="1">
      <alignment horizontal="center" vertical="center" textRotation="90" wrapText="1"/>
    </xf>
    <xf numFmtId="1" fontId="9" fillId="0" borderId="8" xfId="1" applyNumberFormat="1" applyFont="1" applyBorder="1" applyAlignment="1">
      <alignment horizontal="center" vertical="center"/>
    </xf>
    <xf numFmtId="1" fontId="9" fillId="0" borderId="41" xfId="1" applyNumberFormat="1" applyFont="1" applyBorder="1" applyAlignment="1">
      <alignment horizontal="center" vertical="center"/>
    </xf>
    <xf numFmtId="1" fontId="9" fillId="0" borderId="13" xfId="1" applyNumberFormat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0" borderId="28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17" xfId="1" applyFont="1" applyBorder="1" applyAlignment="1">
      <alignment horizontal="center" vertical="center" wrapText="1"/>
    </xf>
    <xf numFmtId="0" fontId="9" fillId="0" borderId="18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41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1" fontId="9" fillId="0" borderId="27" xfId="1" applyNumberFormat="1" applyFont="1" applyBorder="1" applyAlignment="1">
      <alignment horizontal="center" vertical="center"/>
    </xf>
    <xf numFmtId="1" fontId="9" fillId="0" borderId="44" xfId="1" applyNumberFormat="1" applyFont="1" applyBorder="1" applyAlignment="1">
      <alignment horizontal="center" vertical="center"/>
    </xf>
    <xf numFmtId="1" fontId="9" fillId="0" borderId="13" xfId="1" applyNumberFormat="1" applyFont="1" applyBorder="1" applyAlignment="1">
      <alignment horizontal="center" vertical="center" wrapText="1"/>
    </xf>
  </cellXfs>
  <cellStyles count="3">
    <cellStyle name="Normal" xfId="0" builtinId="0"/>
    <cellStyle name="Normal 27" xfId="1" xr:uid="{00000000-0005-0000-0000-000001000000}"/>
    <cellStyle name="Normal_CBGÜCDENGEREV" xfId="2" xr:uid="{00000000-0005-0000-0000-000002000000}"/>
  </cellStyles>
  <dxfs count="3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Medium9"/>
  <colors>
    <mruColors>
      <color rgb="FFFF33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vruz-pc/ACAS%20KD9/Documents%20and%20Settings/user/Desktop/paylasim/MRS-B%20PLOTBPOWERCALCULATIONS-14-08-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vruz-pc/DOGUS%20GYI%20-%20OFIS%20BINASI/Documents%20and%20Settings/user/Desktop/paylasim/MRS-B%20PLOTBPOWERCALCULATIONS-14-08-0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Nevruz-pc/DOGUS%20GYI%20-%20OFIS%20BINASI/PROJELER/ORNEK%20PROJELER/FORUM%20DIYARBAKIR/ELEKTRIK/BELED&#304;YE%20PROJELER&#304;-A4/PANO_HESAP_R4-FORUM%20D&#304;YARBAKIR-MALL-R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Nevruz-pc/ACAS%20KD9/riza/teknik/proje/forum-mersin/9-08-06/Gerilim_dusumu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-BAR-GER-DUS-EA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-BAR-GER-DUS-EAE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KABLO A.T.K."/>
      <sheetName val="T. RÖLELER-KONT."/>
      <sheetName val="MOTORLAR"/>
      <sheetName val="ŞALTER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I-DU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1:T179"/>
  <sheetViews>
    <sheetView tabSelected="1" zoomScale="70" zoomScaleNormal="70" workbookViewId="0">
      <selection activeCell="T16" sqref="T16"/>
    </sheetView>
  </sheetViews>
  <sheetFormatPr defaultColWidth="9.109375" defaultRowHeight="10.199999999999999" x14ac:dyDescent="0.2"/>
  <cols>
    <col min="1" max="1" width="2.88671875" style="13" customWidth="1"/>
    <col min="2" max="3" width="6.88671875" style="13" customWidth="1"/>
    <col min="4" max="4" width="14.44140625" style="12" bestFit="1" customWidth="1"/>
    <col min="5" max="5" width="10.6640625" style="13" customWidth="1"/>
    <col min="6" max="6" width="9.6640625" style="13" customWidth="1"/>
    <col min="7" max="7" width="13" style="13" customWidth="1"/>
    <col min="8" max="8" width="23.109375" style="13" customWidth="1"/>
    <col min="9" max="9" width="19.109375" style="14" bestFit="1" customWidth="1"/>
    <col min="10" max="12" width="7.6640625" style="15" customWidth="1"/>
    <col min="13" max="13" width="8.33203125" style="16" bestFit="1" customWidth="1"/>
    <col min="14" max="14" width="14" style="13" customWidth="1"/>
    <col min="15" max="17" width="6.33203125" style="16" customWidth="1"/>
    <col min="18" max="18" width="7.44140625" style="16" bestFit="1" customWidth="1"/>
    <col min="19" max="19" width="57.88671875" style="17" bestFit="1" customWidth="1"/>
    <col min="20" max="20" width="43.5546875" style="13" customWidth="1"/>
    <col min="21" max="16384" width="9.109375" style="13"/>
  </cols>
  <sheetData>
    <row r="1" spans="2:19" s="1" customFormat="1" ht="15.6" customHeight="1" thickBot="1" x14ac:dyDescent="0.35"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</row>
    <row r="2" spans="2:19" s="1" customFormat="1" ht="24" customHeight="1" thickBot="1" x14ac:dyDescent="0.35">
      <c r="D2" s="274" t="s">
        <v>0</v>
      </c>
      <c r="E2" s="276" t="s">
        <v>1</v>
      </c>
      <c r="F2" s="277"/>
      <c r="G2" s="277"/>
      <c r="H2" s="277"/>
      <c r="I2" s="278"/>
      <c r="J2" s="279" t="s">
        <v>2</v>
      </c>
      <c r="K2" s="280"/>
      <c r="L2" s="281"/>
      <c r="M2" s="282" t="s">
        <v>3</v>
      </c>
      <c r="N2" s="282" t="s">
        <v>4</v>
      </c>
      <c r="O2" s="284" t="s">
        <v>5</v>
      </c>
      <c r="P2" s="285"/>
      <c r="Q2" s="285"/>
      <c r="R2" s="286"/>
      <c r="S2" s="287" t="s">
        <v>96</v>
      </c>
    </row>
    <row r="3" spans="2:19" s="2" customFormat="1" ht="24" customHeight="1" thickBot="1" x14ac:dyDescent="0.35">
      <c r="D3" s="275"/>
      <c r="E3" s="276" t="s">
        <v>6</v>
      </c>
      <c r="F3" s="278"/>
      <c r="G3" s="3" t="s">
        <v>33</v>
      </c>
      <c r="H3" s="3" t="s">
        <v>94</v>
      </c>
      <c r="I3" s="3" t="s">
        <v>93</v>
      </c>
      <c r="J3" s="4" t="s">
        <v>7</v>
      </c>
      <c r="K3" s="4" t="s">
        <v>8</v>
      </c>
      <c r="L3" s="5" t="s">
        <v>9</v>
      </c>
      <c r="M3" s="283"/>
      <c r="N3" s="283"/>
      <c r="O3" s="6" t="s">
        <v>10</v>
      </c>
      <c r="P3" s="7" t="s">
        <v>11</v>
      </c>
      <c r="Q3" s="7" t="s">
        <v>12</v>
      </c>
      <c r="R3" s="4" t="s">
        <v>13</v>
      </c>
      <c r="S3" s="288"/>
    </row>
    <row r="4" spans="2:19" s="8" customFormat="1" ht="15" customHeight="1" x14ac:dyDescent="0.2">
      <c r="B4" s="229" t="s">
        <v>242</v>
      </c>
      <c r="C4" s="229" t="s">
        <v>34</v>
      </c>
      <c r="D4" s="232"/>
      <c r="E4" s="233"/>
      <c r="F4" s="233"/>
      <c r="G4" s="234"/>
      <c r="H4" s="84"/>
      <c r="I4" s="64" t="s">
        <v>46</v>
      </c>
      <c r="J4" s="46">
        <v>1</v>
      </c>
      <c r="K4" s="40"/>
      <c r="L4" s="47"/>
      <c r="M4" s="46" t="s">
        <v>34</v>
      </c>
      <c r="N4" s="55" t="s">
        <v>34</v>
      </c>
      <c r="O4" s="46"/>
      <c r="P4" s="40"/>
      <c r="Q4" s="40"/>
      <c r="R4" s="47"/>
      <c r="S4" s="66" t="s">
        <v>54</v>
      </c>
    </row>
    <row r="5" spans="2:19" s="8" customFormat="1" ht="15" customHeight="1" x14ac:dyDescent="0.2">
      <c r="B5" s="230"/>
      <c r="C5" s="230"/>
      <c r="D5" s="235"/>
      <c r="E5" s="236"/>
      <c r="F5" s="236"/>
      <c r="G5" s="237"/>
      <c r="H5" s="85"/>
      <c r="I5" s="42" t="s">
        <v>46</v>
      </c>
      <c r="J5" s="48">
        <v>1</v>
      </c>
      <c r="K5" s="34"/>
      <c r="L5" s="49"/>
      <c r="M5" s="48" t="s">
        <v>34</v>
      </c>
      <c r="N5" s="56" t="s">
        <v>34</v>
      </c>
      <c r="O5" s="48"/>
      <c r="P5" s="34"/>
      <c r="Q5" s="34"/>
      <c r="R5" s="49"/>
      <c r="S5" s="67" t="s">
        <v>55</v>
      </c>
    </row>
    <row r="6" spans="2:19" s="8" customFormat="1" ht="15" customHeight="1" thickBot="1" x14ac:dyDescent="0.25">
      <c r="B6" s="230"/>
      <c r="C6" s="231"/>
      <c r="D6" s="238"/>
      <c r="E6" s="239"/>
      <c r="F6" s="239"/>
      <c r="G6" s="240"/>
      <c r="H6" s="113"/>
      <c r="I6" s="65" t="s">
        <v>46</v>
      </c>
      <c r="J6" s="50">
        <v>1</v>
      </c>
      <c r="K6" s="41"/>
      <c r="L6" s="51"/>
      <c r="M6" s="50" t="s">
        <v>34</v>
      </c>
      <c r="N6" s="57" t="s">
        <v>34</v>
      </c>
      <c r="O6" s="50"/>
      <c r="P6" s="41"/>
      <c r="Q6" s="41"/>
      <c r="R6" s="51"/>
      <c r="S6" s="10" t="s">
        <v>56</v>
      </c>
    </row>
    <row r="7" spans="2:19" s="8" customFormat="1" ht="15" customHeight="1" thickBot="1" x14ac:dyDescent="0.25">
      <c r="B7" s="230"/>
      <c r="C7" s="114"/>
      <c r="D7" s="217"/>
      <c r="E7" s="218"/>
      <c r="F7" s="218"/>
      <c r="G7" s="219"/>
      <c r="H7" s="214"/>
      <c r="I7" s="65" t="s">
        <v>46</v>
      </c>
      <c r="J7" s="109">
        <v>1</v>
      </c>
      <c r="K7" s="108"/>
      <c r="L7" s="112"/>
      <c r="M7" s="109" t="s">
        <v>34</v>
      </c>
      <c r="N7" s="110" t="s">
        <v>34</v>
      </c>
      <c r="O7" s="109">
        <v>100</v>
      </c>
      <c r="P7" s="108"/>
      <c r="Q7" s="108"/>
      <c r="R7" s="181"/>
      <c r="S7" s="127" t="s">
        <v>356</v>
      </c>
    </row>
    <row r="8" spans="2:19" s="8" customFormat="1" ht="15" customHeight="1" thickBot="1" x14ac:dyDescent="0.25">
      <c r="B8" s="230"/>
      <c r="C8" s="212"/>
      <c r="D8" s="238"/>
      <c r="E8" s="239"/>
      <c r="F8" s="239"/>
      <c r="G8" s="240"/>
      <c r="H8" s="85"/>
      <c r="I8" s="92" t="s">
        <v>116</v>
      </c>
      <c r="J8" s="97"/>
      <c r="K8" s="95"/>
      <c r="L8" s="96">
        <v>1</v>
      </c>
      <c r="M8" s="97" t="s">
        <v>34</v>
      </c>
      <c r="N8" s="98" t="s">
        <v>34</v>
      </c>
      <c r="O8" s="97">
        <v>2650</v>
      </c>
      <c r="P8" s="95">
        <v>2650</v>
      </c>
      <c r="Q8" s="95">
        <v>2650</v>
      </c>
      <c r="R8" s="176">
        <f t="shared" ref="R8:R147" si="0">SUM(O8:Q8)</f>
        <v>7950</v>
      </c>
      <c r="S8" s="73" t="s">
        <v>267</v>
      </c>
    </row>
    <row r="9" spans="2:19" s="8" customFormat="1" ht="15" customHeight="1" x14ac:dyDescent="0.2">
      <c r="B9" s="230"/>
      <c r="C9" s="241" t="s">
        <v>243</v>
      </c>
      <c r="D9" s="131" t="s">
        <v>25</v>
      </c>
      <c r="E9" s="289" t="s">
        <v>62</v>
      </c>
      <c r="F9" s="226"/>
      <c r="G9" s="77" t="s">
        <v>34</v>
      </c>
      <c r="H9" s="77" t="s">
        <v>34</v>
      </c>
      <c r="I9" s="64" t="s">
        <v>42</v>
      </c>
      <c r="J9" s="46"/>
      <c r="K9" s="40">
        <v>1</v>
      </c>
      <c r="L9" s="47"/>
      <c r="M9" s="46" t="s">
        <v>15</v>
      </c>
      <c r="N9" s="55" t="s">
        <v>14</v>
      </c>
      <c r="O9" s="46">
        <v>1000</v>
      </c>
      <c r="P9" s="40"/>
      <c r="Q9" s="40"/>
      <c r="R9" s="170">
        <f t="shared" si="0"/>
        <v>1000</v>
      </c>
      <c r="S9" s="66" t="s">
        <v>144</v>
      </c>
    </row>
    <row r="10" spans="2:19" s="8" customFormat="1" ht="15" customHeight="1" x14ac:dyDescent="0.2">
      <c r="B10" s="230"/>
      <c r="C10" s="241"/>
      <c r="D10" s="132" t="s">
        <v>26</v>
      </c>
      <c r="E10" s="290"/>
      <c r="F10" s="227"/>
      <c r="G10" s="45" t="s">
        <v>34</v>
      </c>
      <c r="H10" s="45" t="s">
        <v>34</v>
      </c>
      <c r="I10" s="42" t="s">
        <v>42</v>
      </c>
      <c r="J10" s="48"/>
      <c r="K10" s="34">
        <v>1</v>
      </c>
      <c r="L10" s="49"/>
      <c r="M10" s="48" t="s">
        <v>15</v>
      </c>
      <c r="N10" s="56" t="s">
        <v>14</v>
      </c>
      <c r="O10" s="48"/>
      <c r="P10" s="34">
        <v>1500</v>
      </c>
      <c r="Q10" s="34"/>
      <c r="R10" s="171">
        <f t="shared" si="0"/>
        <v>1500</v>
      </c>
      <c r="S10" s="75" t="s">
        <v>146</v>
      </c>
    </row>
    <row r="11" spans="2:19" s="8" customFormat="1" ht="15" customHeight="1" x14ac:dyDescent="0.2">
      <c r="B11" s="230"/>
      <c r="C11" s="241"/>
      <c r="D11" s="132" t="s">
        <v>27</v>
      </c>
      <c r="E11" s="290"/>
      <c r="F11" s="227"/>
      <c r="G11" s="45" t="s">
        <v>34</v>
      </c>
      <c r="H11" s="45" t="s">
        <v>34</v>
      </c>
      <c r="I11" s="42" t="s">
        <v>42</v>
      </c>
      <c r="J11" s="48"/>
      <c r="K11" s="34">
        <v>1</v>
      </c>
      <c r="L11" s="49"/>
      <c r="M11" s="48" t="s">
        <v>15</v>
      </c>
      <c r="N11" s="56" t="s">
        <v>14</v>
      </c>
      <c r="O11" s="48"/>
      <c r="P11" s="34"/>
      <c r="Q11" s="34">
        <v>500</v>
      </c>
      <c r="R11" s="171">
        <f t="shared" si="0"/>
        <v>500</v>
      </c>
      <c r="S11" s="75" t="s">
        <v>145</v>
      </c>
    </row>
    <row r="12" spans="2:19" s="8" customFormat="1" ht="15" customHeight="1" x14ac:dyDescent="0.2">
      <c r="B12" s="230"/>
      <c r="C12" s="241"/>
      <c r="D12" s="132" t="s">
        <v>28</v>
      </c>
      <c r="E12" s="290"/>
      <c r="F12" s="227"/>
      <c r="G12" s="45" t="s">
        <v>34</v>
      </c>
      <c r="H12" s="45" t="s">
        <v>34</v>
      </c>
      <c r="I12" s="42" t="s">
        <v>42</v>
      </c>
      <c r="J12" s="48"/>
      <c r="K12" s="34">
        <v>1</v>
      </c>
      <c r="L12" s="49"/>
      <c r="M12" s="48" t="s">
        <v>15</v>
      </c>
      <c r="N12" s="56" t="s">
        <v>14</v>
      </c>
      <c r="O12" s="48">
        <v>500</v>
      </c>
      <c r="P12" s="34"/>
      <c r="Q12" s="34"/>
      <c r="R12" s="171">
        <f t="shared" si="0"/>
        <v>500</v>
      </c>
      <c r="S12" s="75" t="s">
        <v>147</v>
      </c>
    </row>
    <row r="13" spans="2:19" s="8" customFormat="1" ht="15" customHeight="1" x14ac:dyDescent="0.2">
      <c r="B13" s="230"/>
      <c r="C13" s="241"/>
      <c r="D13" s="132" t="s">
        <v>29</v>
      </c>
      <c r="E13" s="290"/>
      <c r="F13" s="227"/>
      <c r="G13" s="45" t="s">
        <v>34</v>
      </c>
      <c r="H13" s="45" t="s">
        <v>34</v>
      </c>
      <c r="I13" s="42" t="s">
        <v>42</v>
      </c>
      <c r="J13" s="48"/>
      <c r="K13" s="34">
        <v>1</v>
      </c>
      <c r="L13" s="49"/>
      <c r="M13" s="48" t="s">
        <v>15</v>
      </c>
      <c r="N13" s="56" t="s">
        <v>14</v>
      </c>
      <c r="O13" s="48"/>
      <c r="P13" s="34">
        <v>500</v>
      </c>
      <c r="Q13" s="34"/>
      <c r="R13" s="171">
        <f t="shared" si="0"/>
        <v>500</v>
      </c>
      <c r="S13" s="75" t="s">
        <v>148</v>
      </c>
    </row>
    <row r="14" spans="2:19" s="8" customFormat="1" ht="15" customHeight="1" x14ac:dyDescent="0.2">
      <c r="B14" s="230"/>
      <c r="C14" s="241"/>
      <c r="D14" s="132" t="s">
        <v>30</v>
      </c>
      <c r="E14" s="290"/>
      <c r="F14" s="227"/>
      <c r="G14" s="45" t="s">
        <v>34</v>
      </c>
      <c r="H14" s="45" t="s">
        <v>34</v>
      </c>
      <c r="I14" s="42" t="s">
        <v>42</v>
      </c>
      <c r="J14" s="48"/>
      <c r="K14" s="34">
        <v>1</v>
      </c>
      <c r="L14" s="49"/>
      <c r="M14" s="48" t="s">
        <v>15</v>
      </c>
      <c r="N14" s="56" t="s">
        <v>14</v>
      </c>
      <c r="O14" s="48"/>
      <c r="P14" s="34"/>
      <c r="Q14" s="34">
        <v>1500</v>
      </c>
      <c r="R14" s="171">
        <f t="shared" si="0"/>
        <v>1500</v>
      </c>
      <c r="S14" s="75" t="s">
        <v>149</v>
      </c>
    </row>
    <row r="15" spans="2:19" s="8" customFormat="1" ht="15" customHeight="1" x14ac:dyDescent="0.2">
      <c r="B15" s="230"/>
      <c r="C15" s="241"/>
      <c r="D15" s="132" t="s">
        <v>31</v>
      </c>
      <c r="E15" s="290"/>
      <c r="F15" s="227"/>
      <c r="G15" s="45" t="s">
        <v>34</v>
      </c>
      <c r="H15" s="45" t="s">
        <v>34</v>
      </c>
      <c r="I15" s="42" t="s">
        <v>42</v>
      </c>
      <c r="J15" s="48"/>
      <c r="K15" s="34">
        <v>1</v>
      </c>
      <c r="L15" s="49"/>
      <c r="M15" s="48" t="s">
        <v>15</v>
      </c>
      <c r="N15" s="56" t="s">
        <v>14</v>
      </c>
      <c r="O15" s="48">
        <v>500</v>
      </c>
      <c r="P15" s="34"/>
      <c r="Q15" s="34"/>
      <c r="R15" s="171">
        <f t="shared" si="0"/>
        <v>500</v>
      </c>
      <c r="S15" s="75" t="s">
        <v>150</v>
      </c>
    </row>
    <row r="16" spans="2:19" s="8" customFormat="1" ht="15" customHeight="1" thickBot="1" x14ac:dyDescent="0.25">
      <c r="B16" s="230"/>
      <c r="C16" s="241"/>
      <c r="D16" s="133" t="s">
        <v>35</v>
      </c>
      <c r="E16" s="291"/>
      <c r="F16" s="228"/>
      <c r="G16" s="87" t="s">
        <v>34</v>
      </c>
      <c r="H16" s="87" t="s">
        <v>34</v>
      </c>
      <c r="I16" s="65" t="s">
        <v>42</v>
      </c>
      <c r="J16" s="50"/>
      <c r="K16" s="41">
        <v>1</v>
      </c>
      <c r="L16" s="51"/>
      <c r="M16" s="50" t="s">
        <v>15</v>
      </c>
      <c r="N16" s="57" t="s">
        <v>14</v>
      </c>
      <c r="O16" s="50"/>
      <c r="P16" s="41">
        <v>1500</v>
      </c>
      <c r="Q16" s="41"/>
      <c r="R16" s="172">
        <f t="shared" ref="R16:R21" si="1">SUM(O16:Q16)</f>
        <v>1500</v>
      </c>
      <c r="S16" s="83" t="s">
        <v>149</v>
      </c>
    </row>
    <row r="17" spans="2:19" s="8" customFormat="1" ht="15" customHeight="1" x14ac:dyDescent="0.2">
      <c r="B17" s="230"/>
      <c r="C17" s="241"/>
      <c r="D17" s="131" t="s">
        <v>47</v>
      </c>
      <c r="E17" s="289" t="s">
        <v>62</v>
      </c>
      <c r="F17" s="226"/>
      <c r="G17" s="77" t="s">
        <v>34</v>
      </c>
      <c r="H17" s="77" t="s">
        <v>34</v>
      </c>
      <c r="I17" s="64" t="s">
        <v>42</v>
      </c>
      <c r="J17" s="46"/>
      <c r="K17" s="40">
        <v>1</v>
      </c>
      <c r="L17" s="47"/>
      <c r="M17" s="46" t="s">
        <v>15</v>
      </c>
      <c r="N17" s="55" t="s">
        <v>14</v>
      </c>
      <c r="O17" s="46">
        <v>750</v>
      </c>
      <c r="P17" s="40"/>
      <c r="Q17" s="40"/>
      <c r="R17" s="173">
        <f t="shared" si="1"/>
        <v>750</v>
      </c>
      <c r="S17" s="66" t="s">
        <v>297</v>
      </c>
    </row>
    <row r="18" spans="2:19" s="8" customFormat="1" ht="15" customHeight="1" x14ac:dyDescent="0.2">
      <c r="B18" s="230"/>
      <c r="C18" s="241"/>
      <c r="D18" s="132" t="s">
        <v>48</v>
      </c>
      <c r="E18" s="290"/>
      <c r="F18" s="227"/>
      <c r="G18" s="45" t="s">
        <v>34</v>
      </c>
      <c r="H18" s="45" t="s">
        <v>34</v>
      </c>
      <c r="I18" s="42" t="s">
        <v>42</v>
      </c>
      <c r="J18" s="48"/>
      <c r="K18" s="34">
        <v>1</v>
      </c>
      <c r="L18" s="49"/>
      <c r="M18" s="48" t="s">
        <v>15</v>
      </c>
      <c r="N18" s="56" t="s">
        <v>14</v>
      </c>
      <c r="O18" s="48"/>
      <c r="P18" s="34">
        <v>750</v>
      </c>
      <c r="Q18" s="34"/>
      <c r="R18" s="174">
        <f t="shared" si="1"/>
        <v>750</v>
      </c>
      <c r="S18" s="75" t="s">
        <v>32</v>
      </c>
    </row>
    <row r="19" spans="2:19" s="8" customFormat="1" ht="15" customHeight="1" x14ac:dyDescent="0.2">
      <c r="B19" s="230"/>
      <c r="C19" s="241"/>
      <c r="D19" s="132" t="s">
        <v>49</v>
      </c>
      <c r="E19" s="290"/>
      <c r="F19" s="227"/>
      <c r="G19" s="45" t="s">
        <v>34</v>
      </c>
      <c r="H19" s="45" t="s">
        <v>34</v>
      </c>
      <c r="I19" s="42" t="s">
        <v>42</v>
      </c>
      <c r="J19" s="48"/>
      <c r="K19" s="34">
        <v>1</v>
      </c>
      <c r="L19" s="49"/>
      <c r="M19" s="48" t="s">
        <v>15</v>
      </c>
      <c r="N19" s="56" t="s">
        <v>14</v>
      </c>
      <c r="O19" s="48"/>
      <c r="P19" s="34"/>
      <c r="Q19" s="34">
        <v>500</v>
      </c>
      <c r="R19" s="174">
        <f t="shared" si="1"/>
        <v>500</v>
      </c>
      <c r="S19" s="75" t="s">
        <v>326</v>
      </c>
    </row>
    <row r="20" spans="2:19" s="8" customFormat="1" ht="15" customHeight="1" x14ac:dyDescent="0.2">
      <c r="B20" s="230"/>
      <c r="C20" s="241"/>
      <c r="D20" s="132" t="s">
        <v>50</v>
      </c>
      <c r="E20" s="290"/>
      <c r="F20" s="227"/>
      <c r="G20" s="45" t="s">
        <v>34</v>
      </c>
      <c r="H20" s="45" t="s">
        <v>34</v>
      </c>
      <c r="I20" s="42" t="s">
        <v>42</v>
      </c>
      <c r="J20" s="48"/>
      <c r="K20" s="34">
        <v>1</v>
      </c>
      <c r="L20" s="49"/>
      <c r="M20" s="48" t="s">
        <v>15</v>
      </c>
      <c r="N20" s="56" t="s">
        <v>14</v>
      </c>
      <c r="O20" s="48">
        <v>1500</v>
      </c>
      <c r="P20" s="34"/>
      <c r="Q20" s="34"/>
      <c r="R20" s="174">
        <f t="shared" si="1"/>
        <v>1500</v>
      </c>
      <c r="S20" s="75" t="s">
        <v>298</v>
      </c>
    </row>
    <row r="21" spans="2:19" s="8" customFormat="1" ht="15" customHeight="1" x14ac:dyDescent="0.2">
      <c r="B21" s="230"/>
      <c r="C21" s="241"/>
      <c r="D21" s="132" t="s">
        <v>51</v>
      </c>
      <c r="E21" s="290"/>
      <c r="F21" s="227"/>
      <c r="G21" s="45" t="s">
        <v>34</v>
      </c>
      <c r="H21" s="45" t="s">
        <v>34</v>
      </c>
      <c r="I21" s="42" t="s">
        <v>42</v>
      </c>
      <c r="J21" s="48"/>
      <c r="K21" s="34">
        <v>1</v>
      </c>
      <c r="L21" s="49"/>
      <c r="M21" s="48" t="s">
        <v>15</v>
      </c>
      <c r="N21" s="56" t="s">
        <v>14</v>
      </c>
      <c r="O21" s="48"/>
      <c r="P21" s="34">
        <v>1500</v>
      </c>
      <c r="Q21" s="34"/>
      <c r="R21" s="174">
        <f t="shared" si="1"/>
        <v>1500</v>
      </c>
      <c r="S21" s="75" t="s">
        <v>153</v>
      </c>
    </row>
    <row r="22" spans="2:19" s="8" customFormat="1" ht="15" customHeight="1" x14ac:dyDescent="0.2">
      <c r="B22" s="230"/>
      <c r="C22" s="241"/>
      <c r="D22" s="132" t="s">
        <v>52</v>
      </c>
      <c r="E22" s="290"/>
      <c r="F22" s="227"/>
      <c r="G22" s="45" t="s">
        <v>34</v>
      </c>
      <c r="H22" s="45" t="s">
        <v>34</v>
      </c>
      <c r="I22" s="42" t="s">
        <v>42</v>
      </c>
      <c r="J22" s="48"/>
      <c r="K22" s="34">
        <v>1</v>
      </c>
      <c r="L22" s="49"/>
      <c r="M22" s="48" t="s">
        <v>15</v>
      </c>
      <c r="N22" s="56" t="s">
        <v>14</v>
      </c>
      <c r="O22" s="48"/>
      <c r="P22" s="34"/>
      <c r="Q22" s="34">
        <v>500</v>
      </c>
      <c r="R22" s="174">
        <f t="shared" ref="R22:R40" si="2">SUM(O22:Q22)</f>
        <v>500</v>
      </c>
      <c r="S22" s="75" t="s">
        <v>152</v>
      </c>
    </row>
    <row r="23" spans="2:19" s="8" customFormat="1" ht="15" customHeight="1" x14ac:dyDescent="0.2">
      <c r="B23" s="230"/>
      <c r="C23" s="241"/>
      <c r="D23" s="132" t="s">
        <v>57</v>
      </c>
      <c r="E23" s="290"/>
      <c r="F23" s="227"/>
      <c r="G23" s="45" t="s">
        <v>34</v>
      </c>
      <c r="H23" s="45" t="s">
        <v>34</v>
      </c>
      <c r="I23" s="42" t="s">
        <v>42</v>
      </c>
      <c r="J23" s="48"/>
      <c r="K23" s="34">
        <v>1</v>
      </c>
      <c r="L23" s="49"/>
      <c r="M23" s="48" t="s">
        <v>15</v>
      </c>
      <c r="N23" s="56" t="s">
        <v>14</v>
      </c>
      <c r="O23" s="48">
        <v>200</v>
      </c>
      <c r="P23" s="34"/>
      <c r="Q23" s="34"/>
      <c r="R23" s="174">
        <f t="shared" si="2"/>
        <v>200</v>
      </c>
      <c r="S23" s="75" t="s">
        <v>305</v>
      </c>
    </row>
    <row r="24" spans="2:19" s="8" customFormat="1" ht="15" customHeight="1" thickBot="1" x14ac:dyDescent="0.25">
      <c r="B24" s="230"/>
      <c r="C24" s="241"/>
      <c r="D24" s="133" t="s">
        <v>58</v>
      </c>
      <c r="E24" s="291"/>
      <c r="F24" s="228"/>
      <c r="G24" s="87" t="s">
        <v>34</v>
      </c>
      <c r="H24" s="87" t="s">
        <v>34</v>
      </c>
      <c r="I24" s="65" t="s">
        <v>42</v>
      </c>
      <c r="J24" s="50"/>
      <c r="K24" s="41">
        <v>1</v>
      </c>
      <c r="L24" s="51"/>
      <c r="M24" s="50" t="s">
        <v>15</v>
      </c>
      <c r="N24" s="57" t="s">
        <v>14</v>
      </c>
      <c r="O24" s="50"/>
      <c r="P24" s="41">
        <v>1500</v>
      </c>
      <c r="Q24" s="41"/>
      <c r="R24" s="175">
        <f t="shared" si="2"/>
        <v>1500</v>
      </c>
      <c r="S24" s="76" t="s">
        <v>153</v>
      </c>
    </row>
    <row r="25" spans="2:19" s="8" customFormat="1" ht="15" customHeight="1" x14ac:dyDescent="0.2">
      <c r="B25" s="230"/>
      <c r="C25" s="241"/>
      <c r="D25" s="131" t="s">
        <v>59</v>
      </c>
      <c r="E25" s="289" t="s">
        <v>62</v>
      </c>
      <c r="F25" s="226"/>
      <c r="G25" s="77" t="s">
        <v>34</v>
      </c>
      <c r="H25" s="77" t="s">
        <v>34</v>
      </c>
      <c r="I25" s="64" t="s">
        <v>42</v>
      </c>
      <c r="J25" s="46"/>
      <c r="K25" s="40">
        <v>1</v>
      </c>
      <c r="L25" s="47"/>
      <c r="M25" s="46" t="s">
        <v>15</v>
      </c>
      <c r="N25" s="55" t="s">
        <v>14</v>
      </c>
      <c r="O25" s="46"/>
      <c r="P25" s="40"/>
      <c r="Q25" s="40">
        <v>500</v>
      </c>
      <c r="R25" s="170">
        <f t="shared" si="2"/>
        <v>500</v>
      </c>
      <c r="S25" s="66" t="s">
        <v>152</v>
      </c>
    </row>
    <row r="26" spans="2:19" s="8" customFormat="1" ht="15" customHeight="1" x14ac:dyDescent="0.2">
      <c r="B26" s="230"/>
      <c r="C26" s="241"/>
      <c r="D26" s="132" t="s">
        <v>60</v>
      </c>
      <c r="E26" s="290"/>
      <c r="F26" s="227"/>
      <c r="G26" s="45" t="s">
        <v>34</v>
      </c>
      <c r="H26" s="45" t="s">
        <v>34</v>
      </c>
      <c r="I26" s="42" t="s">
        <v>42</v>
      </c>
      <c r="J26" s="48"/>
      <c r="K26" s="34">
        <v>1</v>
      </c>
      <c r="L26" s="49"/>
      <c r="M26" s="48" t="s">
        <v>15</v>
      </c>
      <c r="N26" s="56" t="s">
        <v>14</v>
      </c>
      <c r="O26" s="48">
        <v>500</v>
      </c>
      <c r="P26" s="34"/>
      <c r="Q26" s="34"/>
      <c r="R26" s="171">
        <f t="shared" si="2"/>
        <v>500</v>
      </c>
      <c r="S26" s="75" t="s">
        <v>151</v>
      </c>
    </row>
    <row r="27" spans="2:19" s="8" customFormat="1" ht="15" customHeight="1" x14ac:dyDescent="0.2">
      <c r="B27" s="230"/>
      <c r="C27" s="241"/>
      <c r="D27" s="132" t="s">
        <v>63</v>
      </c>
      <c r="E27" s="290"/>
      <c r="F27" s="227"/>
      <c r="G27" s="45" t="s">
        <v>34</v>
      </c>
      <c r="H27" s="45" t="s">
        <v>34</v>
      </c>
      <c r="I27" s="42" t="s">
        <v>42</v>
      </c>
      <c r="J27" s="48"/>
      <c r="K27" s="34">
        <v>1</v>
      </c>
      <c r="L27" s="49"/>
      <c r="M27" s="48" t="s">
        <v>15</v>
      </c>
      <c r="N27" s="56" t="s">
        <v>14</v>
      </c>
      <c r="O27" s="48"/>
      <c r="P27" s="34">
        <v>1500</v>
      </c>
      <c r="Q27" s="34"/>
      <c r="R27" s="171">
        <f t="shared" si="2"/>
        <v>1500</v>
      </c>
      <c r="S27" s="75" t="s">
        <v>153</v>
      </c>
    </row>
    <row r="28" spans="2:19" s="8" customFormat="1" ht="15" customHeight="1" x14ac:dyDescent="0.2">
      <c r="B28" s="230"/>
      <c r="C28" s="241"/>
      <c r="D28" s="132" t="s">
        <v>64</v>
      </c>
      <c r="E28" s="290"/>
      <c r="F28" s="227"/>
      <c r="G28" s="45" t="s">
        <v>34</v>
      </c>
      <c r="H28" s="45" t="s">
        <v>34</v>
      </c>
      <c r="I28" s="42" t="s">
        <v>42</v>
      </c>
      <c r="J28" s="48"/>
      <c r="K28" s="34">
        <v>1</v>
      </c>
      <c r="L28" s="49"/>
      <c r="M28" s="48" t="s">
        <v>15</v>
      </c>
      <c r="N28" s="56" t="s">
        <v>14</v>
      </c>
      <c r="O28" s="48"/>
      <c r="P28" s="34"/>
      <c r="Q28" s="34">
        <v>500</v>
      </c>
      <c r="R28" s="171">
        <f t="shared" si="2"/>
        <v>500</v>
      </c>
      <c r="S28" s="75" t="s">
        <v>300</v>
      </c>
    </row>
    <row r="29" spans="2:19" s="8" customFormat="1" ht="15" customHeight="1" x14ac:dyDescent="0.2">
      <c r="B29" s="230"/>
      <c r="C29" s="241"/>
      <c r="D29" s="132" t="s">
        <v>65</v>
      </c>
      <c r="E29" s="290"/>
      <c r="F29" s="227"/>
      <c r="G29" s="45" t="s">
        <v>34</v>
      </c>
      <c r="H29" s="45" t="s">
        <v>34</v>
      </c>
      <c r="I29" s="42" t="s">
        <v>42</v>
      </c>
      <c r="J29" s="48"/>
      <c r="K29" s="34">
        <v>1</v>
      </c>
      <c r="L29" s="49"/>
      <c r="M29" s="48" t="s">
        <v>15</v>
      </c>
      <c r="N29" s="56" t="s">
        <v>14</v>
      </c>
      <c r="O29" s="48">
        <v>500</v>
      </c>
      <c r="P29" s="34"/>
      <c r="Q29" s="34"/>
      <c r="R29" s="171">
        <f t="shared" si="2"/>
        <v>500</v>
      </c>
      <c r="S29" s="75" t="s">
        <v>152</v>
      </c>
    </row>
    <row r="30" spans="2:19" s="8" customFormat="1" ht="15" customHeight="1" x14ac:dyDescent="0.2">
      <c r="B30" s="230"/>
      <c r="C30" s="241"/>
      <c r="D30" s="132" t="s">
        <v>66</v>
      </c>
      <c r="E30" s="290"/>
      <c r="F30" s="227"/>
      <c r="G30" s="45" t="s">
        <v>34</v>
      </c>
      <c r="H30" s="45" t="s">
        <v>34</v>
      </c>
      <c r="I30" s="42" t="s">
        <v>42</v>
      </c>
      <c r="J30" s="48"/>
      <c r="K30" s="34">
        <v>1</v>
      </c>
      <c r="L30" s="49"/>
      <c r="M30" s="48" t="s">
        <v>15</v>
      </c>
      <c r="N30" s="56" t="s">
        <v>14</v>
      </c>
      <c r="O30" s="48"/>
      <c r="P30" s="34">
        <v>500</v>
      </c>
      <c r="Q30" s="34"/>
      <c r="R30" s="171">
        <f t="shared" si="2"/>
        <v>500</v>
      </c>
      <c r="S30" s="75" t="s">
        <v>152</v>
      </c>
    </row>
    <row r="31" spans="2:19" s="8" customFormat="1" ht="15" customHeight="1" x14ac:dyDescent="0.2">
      <c r="B31" s="230"/>
      <c r="C31" s="241"/>
      <c r="D31" s="132" t="s">
        <v>67</v>
      </c>
      <c r="E31" s="290"/>
      <c r="F31" s="227"/>
      <c r="G31" s="45" t="s">
        <v>34</v>
      </c>
      <c r="H31" s="45" t="s">
        <v>34</v>
      </c>
      <c r="I31" s="42" t="s">
        <v>42</v>
      </c>
      <c r="J31" s="48"/>
      <c r="K31" s="34">
        <v>1</v>
      </c>
      <c r="L31" s="49"/>
      <c r="M31" s="48" t="s">
        <v>15</v>
      </c>
      <c r="N31" s="56" t="s">
        <v>14</v>
      </c>
      <c r="O31" s="48"/>
      <c r="P31" s="34"/>
      <c r="Q31" s="34">
        <v>1500</v>
      </c>
      <c r="R31" s="171">
        <f t="shared" si="2"/>
        <v>1500</v>
      </c>
      <c r="S31" s="75" t="s">
        <v>153</v>
      </c>
    </row>
    <row r="32" spans="2:19" s="8" customFormat="1" ht="15" customHeight="1" thickBot="1" x14ac:dyDescent="0.25">
      <c r="B32" s="230"/>
      <c r="C32" s="241"/>
      <c r="D32" s="133" t="s">
        <v>68</v>
      </c>
      <c r="E32" s="291"/>
      <c r="F32" s="228"/>
      <c r="G32" s="87" t="s">
        <v>34</v>
      </c>
      <c r="H32" s="87" t="s">
        <v>34</v>
      </c>
      <c r="I32" s="65" t="s">
        <v>42</v>
      </c>
      <c r="J32" s="50"/>
      <c r="K32" s="41">
        <v>1</v>
      </c>
      <c r="L32" s="51"/>
      <c r="M32" s="50" t="s">
        <v>15</v>
      </c>
      <c r="N32" s="57" t="s">
        <v>14</v>
      </c>
      <c r="O32" s="50">
        <v>500</v>
      </c>
      <c r="P32" s="41"/>
      <c r="Q32" s="41"/>
      <c r="R32" s="172">
        <f t="shared" si="2"/>
        <v>500</v>
      </c>
      <c r="S32" s="76" t="s">
        <v>301</v>
      </c>
    </row>
    <row r="33" spans="2:19" s="8" customFormat="1" ht="15" customHeight="1" x14ac:dyDescent="0.2">
      <c r="B33" s="230"/>
      <c r="C33" s="241"/>
      <c r="D33" s="131" t="s">
        <v>69</v>
      </c>
      <c r="E33" s="289" t="s">
        <v>62</v>
      </c>
      <c r="F33" s="226"/>
      <c r="G33" s="77" t="s">
        <v>34</v>
      </c>
      <c r="H33" s="77" t="s">
        <v>34</v>
      </c>
      <c r="I33" s="64" t="s">
        <v>42</v>
      </c>
      <c r="J33" s="46"/>
      <c r="K33" s="40">
        <v>1</v>
      </c>
      <c r="L33" s="47"/>
      <c r="M33" s="46" t="s">
        <v>15</v>
      </c>
      <c r="N33" s="55" t="s">
        <v>14</v>
      </c>
      <c r="O33" s="61"/>
      <c r="P33" s="62">
        <v>1500</v>
      </c>
      <c r="Q33" s="62"/>
      <c r="R33" s="176">
        <f t="shared" si="2"/>
        <v>1500</v>
      </c>
      <c r="S33" s="75" t="s">
        <v>302</v>
      </c>
    </row>
    <row r="34" spans="2:19" s="8" customFormat="1" ht="15" customHeight="1" x14ac:dyDescent="0.2">
      <c r="B34" s="230"/>
      <c r="C34" s="241"/>
      <c r="D34" s="132" t="s">
        <v>70</v>
      </c>
      <c r="E34" s="290"/>
      <c r="F34" s="227"/>
      <c r="G34" s="45" t="s">
        <v>34</v>
      </c>
      <c r="H34" s="45" t="s">
        <v>34</v>
      </c>
      <c r="I34" s="42" t="s">
        <v>42</v>
      </c>
      <c r="J34" s="48"/>
      <c r="K34" s="34">
        <v>1</v>
      </c>
      <c r="L34" s="49"/>
      <c r="M34" s="48" t="s">
        <v>15</v>
      </c>
      <c r="N34" s="56" t="s">
        <v>14</v>
      </c>
      <c r="O34" s="48"/>
      <c r="P34" s="34"/>
      <c r="Q34" s="34">
        <v>1000</v>
      </c>
      <c r="R34" s="171">
        <f t="shared" si="2"/>
        <v>1000</v>
      </c>
      <c r="S34" s="75" t="s">
        <v>312</v>
      </c>
    </row>
    <row r="35" spans="2:19" s="8" customFormat="1" ht="15" customHeight="1" x14ac:dyDescent="0.2">
      <c r="B35" s="230"/>
      <c r="C35" s="241"/>
      <c r="D35" s="132" t="s">
        <v>71</v>
      </c>
      <c r="E35" s="290"/>
      <c r="F35" s="227"/>
      <c r="G35" s="45" t="s">
        <v>34</v>
      </c>
      <c r="H35" s="45" t="s">
        <v>34</v>
      </c>
      <c r="I35" s="42" t="s">
        <v>42</v>
      </c>
      <c r="J35" s="48"/>
      <c r="K35" s="34">
        <v>1</v>
      </c>
      <c r="L35" s="49"/>
      <c r="M35" s="48" t="s">
        <v>15</v>
      </c>
      <c r="N35" s="56" t="s">
        <v>14</v>
      </c>
      <c r="O35" s="48">
        <v>500</v>
      </c>
      <c r="P35" s="34"/>
      <c r="Q35" s="34"/>
      <c r="R35" s="171">
        <f t="shared" si="2"/>
        <v>500</v>
      </c>
      <c r="S35" s="75" t="s">
        <v>155</v>
      </c>
    </row>
    <row r="36" spans="2:19" s="8" customFormat="1" ht="15" customHeight="1" x14ac:dyDescent="0.2">
      <c r="B36" s="230"/>
      <c r="C36" s="241"/>
      <c r="D36" s="132" t="s">
        <v>72</v>
      </c>
      <c r="E36" s="290"/>
      <c r="F36" s="227"/>
      <c r="G36" s="45" t="s">
        <v>34</v>
      </c>
      <c r="H36" s="45" t="s">
        <v>34</v>
      </c>
      <c r="I36" s="42" t="s">
        <v>42</v>
      </c>
      <c r="J36" s="48"/>
      <c r="K36" s="34">
        <v>1</v>
      </c>
      <c r="L36" s="49"/>
      <c r="M36" s="48" t="s">
        <v>15</v>
      </c>
      <c r="N36" s="56" t="s">
        <v>14</v>
      </c>
      <c r="O36" s="48"/>
      <c r="P36" s="34">
        <v>1500</v>
      </c>
      <c r="Q36" s="34"/>
      <c r="R36" s="171">
        <f t="shared" si="2"/>
        <v>1500</v>
      </c>
      <c r="S36" s="75" t="s">
        <v>154</v>
      </c>
    </row>
    <row r="37" spans="2:19" s="8" customFormat="1" ht="15" customHeight="1" x14ac:dyDescent="0.2">
      <c r="B37" s="230"/>
      <c r="C37" s="241"/>
      <c r="D37" s="132" t="s">
        <v>73</v>
      </c>
      <c r="E37" s="290"/>
      <c r="F37" s="227"/>
      <c r="G37" s="45" t="s">
        <v>34</v>
      </c>
      <c r="H37" s="45" t="s">
        <v>34</v>
      </c>
      <c r="I37" s="42" t="s">
        <v>42</v>
      </c>
      <c r="J37" s="48"/>
      <c r="K37" s="34">
        <v>1</v>
      </c>
      <c r="L37" s="49"/>
      <c r="M37" s="48" t="s">
        <v>15</v>
      </c>
      <c r="N37" s="56" t="s">
        <v>14</v>
      </c>
      <c r="O37" s="48"/>
      <c r="P37" s="34"/>
      <c r="Q37" s="34">
        <v>500</v>
      </c>
      <c r="R37" s="171">
        <f t="shared" si="2"/>
        <v>500</v>
      </c>
      <c r="S37" s="75" t="s">
        <v>303</v>
      </c>
    </row>
    <row r="38" spans="2:19" s="8" customFormat="1" ht="15" customHeight="1" x14ac:dyDescent="0.2">
      <c r="B38" s="230"/>
      <c r="C38" s="241"/>
      <c r="D38" s="132" t="s">
        <v>74</v>
      </c>
      <c r="E38" s="290"/>
      <c r="F38" s="227"/>
      <c r="G38" s="45" t="s">
        <v>34</v>
      </c>
      <c r="H38" s="45" t="s">
        <v>34</v>
      </c>
      <c r="I38" s="42" t="s">
        <v>42</v>
      </c>
      <c r="J38" s="48"/>
      <c r="K38" s="34">
        <v>1</v>
      </c>
      <c r="L38" s="49"/>
      <c r="M38" s="48" t="s">
        <v>15</v>
      </c>
      <c r="N38" s="56" t="s">
        <v>14</v>
      </c>
      <c r="O38" s="48">
        <v>200</v>
      </c>
      <c r="P38" s="34"/>
      <c r="Q38" s="34"/>
      <c r="R38" s="171">
        <f t="shared" si="2"/>
        <v>200</v>
      </c>
      <c r="S38" s="75" t="s">
        <v>304</v>
      </c>
    </row>
    <row r="39" spans="2:19" s="8" customFormat="1" ht="15" customHeight="1" x14ac:dyDescent="0.2">
      <c r="B39" s="230"/>
      <c r="C39" s="241"/>
      <c r="D39" s="132" t="s">
        <v>134</v>
      </c>
      <c r="E39" s="290"/>
      <c r="F39" s="227"/>
      <c r="G39" s="45" t="s">
        <v>34</v>
      </c>
      <c r="H39" s="45" t="s">
        <v>34</v>
      </c>
      <c r="I39" s="42" t="s">
        <v>42</v>
      </c>
      <c r="J39" s="48"/>
      <c r="K39" s="34">
        <v>1</v>
      </c>
      <c r="L39" s="49"/>
      <c r="M39" s="48" t="s">
        <v>15</v>
      </c>
      <c r="N39" s="56" t="s">
        <v>14</v>
      </c>
      <c r="O39" s="48"/>
      <c r="P39" s="34">
        <v>600</v>
      </c>
      <c r="Q39" s="34"/>
      <c r="R39" s="171">
        <f t="shared" si="2"/>
        <v>600</v>
      </c>
      <c r="S39" s="75" t="s">
        <v>306</v>
      </c>
    </row>
    <row r="40" spans="2:19" s="8" customFormat="1" ht="15" customHeight="1" thickBot="1" x14ac:dyDescent="0.25">
      <c r="B40" s="230"/>
      <c r="C40" s="241"/>
      <c r="D40" s="133" t="s">
        <v>135</v>
      </c>
      <c r="E40" s="291"/>
      <c r="F40" s="228"/>
      <c r="G40" s="87" t="s">
        <v>34</v>
      </c>
      <c r="H40" s="87" t="s">
        <v>34</v>
      </c>
      <c r="I40" s="65" t="s">
        <v>42</v>
      </c>
      <c r="J40" s="50"/>
      <c r="K40" s="41">
        <v>1</v>
      </c>
      <c r="L40" s="51"/>
      <c r="M40" s="50" t="s">
        <v>15</v>
      </c>
      <c r="N40" s="57" t="s">
        <v>14</v>
      </c>
      <c r="O40" s="50"/>
      <c r="P40" s="41"/>
      <c r="Q40" s="41">
        <v>1500</v>
      </c>
      <c r="R40" s="171">
        <f t="shared" si="2"/>
        <v>1500</v>
      </c>
      <c r="S40" s="75" t="s">
        <v>307</v>
      </c>
    </row>
    <row r="41" spans="2:19" s="8" customFormat="1" ht="15" customHeight="1" x14ac:dyDescent="0.2">
      <c r="B41" s="230"/>
      <c r="C41" s="241"/>
      <c r="D41" s="131" t="s">
        <v>136</v>
      </c>
      <c r="E41" s="289" t="s">
        <v>62</v>
      </c>
      <c r="F41" s="226"/>
      <c r="G41" s="77" t="s">
        <v>34</v>
      </c>
      <c r="H41" s="77" t="s">
        <v>34</v>
      </c>
      <c r="I41" s="64" t="s">
        <v>42</v>
      </c>
      <c r="J41" s="46"/>
      <c r="K41" s="40">
        <v>1</v>
      </c>
      <c r="L41" s="47"/>
      <c r="M41" s="46" t="s">
        <v>15</v>
      </c>
      <c r="N41" s="55" t="s">
        <v>14</v>
      </c>
      <c r="O41" s="46">
        <v>3000</v>
      </c>
      <c r="P41" s="40"/>
      <c r="Q41" s="40"/>
      <c r="R41" s="170">
        <f t="shared" ref="R41:R45" si="3">SUM(O41:Q41)</f>
        <v>3000</v>
      </c>
      <c r="S41" s="66" t="s">
        <v>308</v>
      </c>
    </row>
    <row r="42" spans="2:19" s="8" customFormat="1" ht="15" customHeight="1" x14ac:dyDescent="0.2">
      <c r="B42" s="230"/>
      <c r="C42" s="241"/>
      <c r="D42" s="132" t="s">
        <v>137</v>
      </c>
      <c r="E42" s="290"/>
      <c r="F42" s="227"/>
      <c r="G42" s="45" t="s">
        <v>34</v>
      </c>
      <c r="H42" s="45" t="s">
        <v>34</v>
      </c>
      <c r="I42" s="42" t="s">
        <v>42</v>
      </c>
      <c r="J42" s="48"/>
      <c r="K42" s="34">
        <v>1</v>
      </c>
      <c r="L42" s="49"/>
      <c r="M42" s="48" t="s">
        <v>15</v>
      </c>
      <c r="N42" s="56" t="s">
        <v>14</v>
      </c>
      <c r="O42" s="48"/>
      <c r="P42" s="34">
        <v>2000</v>
      </c>
      <c r="Q42" s="34"/>
      <c r="R42" s="171">
        <f t="shared" si="3"/>
        <v>2000</v>
      </c>
      <c r="S42" s="75" t="s">
        <v>309</v>
      </c>
    </row>
    <row r="43" spans="2:19" s="8" customFormat="1" ht="15" customHeight="1" x14ac:dyDescent="0.2">
      <c r="B43" s="230"/>
      <c r="C43" s="241"/>
      <c r="D43" s="132" t="s">
        <v>138</v>
      </c>
      <c r="E43" s="290"/>
      <c r="F43" s="227"/>
      <c r="G43" s="45" t="s">
        <v>34</v>
      </c>
      <c r="H43" s="45" t="s">
        <v>34</v>
      </c>
      <c r="I43" s="42" t="s">
        <v>42</v>
      </c>
      <c r="J43" s="48"/>
      <c r="K43" s="34">
        <v>1</v>
      </c>
      <c r="L43" s="49"/>
      <c r="M43" s="48" t="s">
        <v>15</v>
      </c>
      <c r="N43" s="56" t="s">
        <v>14</v>
      </c>
      <c r="O43" s="48"/>
      <c r="P43" s="34"/>
      <c r="Q43" s="34">
        <v>300</v>
      </c>
      <c r="R43" s="171">
        <f t="shared" si="3"/>
        <v>300</v>
      </c>
      <c r="S43" s="75" t="s">
        <v>310</v>
      </c>
    </row>
    <row r="44" spans="2:19" s="8" customFormat="1" ht="15" customHeight="1" x14ac:dyDescent="0.2">
      <c r="B44" s="230"/>
      <c r="C44" s="241"/>
      <c r="D44" s="132" t="s">
        <v>139</v>
      </c>
      <c r="E44" s="290"/>
      <c r="F44" s="227"/>
      <c r="G44" s="45" t="s">
        <v>34</v>
      </c>
      <c r="H44" s="45" t="s">
        <v>34</v>
      </c>
      <c r="I44" s="42" t="s">
        <v>42</v>
      </c>
      <c r="J44" s="48"/>
      <c r="K44" s="34">
        <v>1</v>
      </c>
      <c r="L44" s="49"/>
      <c r="M44" s="48" t="s">
        <v>15</v>
      </c>
      <c r="N44" s="56" t="s">
        <v>14</v>
      </c>
      <c r="O44" s="48">
        <v>300</v>
      </c>
      <c r="P44" s="34"/>
      <c r="Q44" s="34"/>
      <c r="R44" s="171">
        <f t="shared" si="3"/>
        <v>300</v>
      </c>
      <c r="S44" s="75" t="s">
        <v>311</v>
      </c>
    </row>
    <row r="45" spans="2:19" s="8" customFormat="1" ht="15" customHeight="1" x14ac:dyDescent="0.2">
      <c r="B45" s="230"/>
      <c r="C45" s="241"/>
      <c r="D45" s="132" t="s">
        <v>140</v>
      </c>
      <c r="E45" s="290"/>
      <c r="F45" s="227"/>
      <c r="G45" s="45" t="s">
        <v>34</v>
      </c>
      <c r="H45" s="45" t="s">
        <v>34</v>
      </c>
      <c r="I45" s="42" t="s">
        <v>42</v>
      </c>
      <c r="J45" s="48"/>
      <c r="K45" s="34">
        <v>1</v>
      </c>
      <c r="L45" s="49"/>
      <c r="M45" s="48" t="s">
        <v>15</v>
      </c>
      <c r="N45" s="56" t="s">
        <v>14</v>
      </c>
      <c r="O45" s="48"/>
      <c r="P45" s="34">
        <v>300</v>
      </c>
      <c r="Q45" s="34"/>
      <c r="R45" s="171">
        <f t="shared" si="3"/>
        <v>300</v>
      </c>
      <c r="S45" s="75" t="s">
        <v>313</v>
      </c>
    </row>
    <row r="46" spans="2:19" s="8" customFormat="1" ht="15" customHeight="1" x14ac:dyDescent="0.2">
      <c r="B46" s="230"/>
      <c r="C46" s="241"/>
      <c r="D46" s="132" t="s">
        <v>141</v>
      </c>
      <c r="E46" s="290"/>
      <c r="F46" s="227"/>
      <c r="G46" s="45" t="s">
        <v>34</v>
      </c>
      <c r="H46" s="45" t="s">
        <v>34</v>
      </c>
      <c r="I46" s="42" t="s">
        <v>42</v>
      </c>
      <c r="J46" s="48"/>
      <c r="K46" s="34">
        <v>1</v>
      </c>
      <c r="L46" s="49"/>
      <c r="M46" s="48" t="s">
        <v>15</v>
      </c>
      <c r="N46" s="56" t="s">
        <v>14</v>
      </c>
      <c r="O46" s="48"/>
      <c r="P46" s="34"/>
      <c r="Q46" s="34">
        <v>500</v>
      </c>
      <c r="R46" s="171">
        <f t="shared" ref="R46:R53" si="4">SUM(O46:Q46)</f>
        <v>500</v>
      </c>
      <c r="S46" s="75" t="s">
        <v>314</v>
      </c>
    </row>
    <row r="47" spans="2:19" s="8" customFormat="1" ht="15" customHeight="1" x14ac:dyDescent="0.2">
      <c r="B47" s="230"/>
      <c r="C47" s="241"/>
      <c r="D47" s="132" t="s">
        <v>142</v>
      </c>
      <c r="E47" s="290"/>
      <c r="F47" s="227"/>
      <c r="G47" s="45" t="s">
        <v>34</v>
      </c>
      <c r="H47" s="45" t="s">
        <v>34</v>
      </c>
      <c r="I47" s="42" t="s">
        <v>42</v>
      </c>
      <c r="J47" s="48"/>
      <c r="K47" s="34">
        <v>1</v>
      </c>
      <c r="L47" s="49"/>
      <c r="M47" s="48" t="s">
        <v>15</v>
      </c>
      <c r="N47" s="56" t="s">
        <v>14</v>
      </c>
      <c r="O47" s="48">
        <v>300</v>
      </c>
      <c r="P47" s="34"/>
      <c r="Q47" s="34"/>
      <c r="R47" s="171">
        <f t="shared" si="4"/>
        <v>300</v>
      </c>
      <c r="S47" s="75" t="s">
        <v>326</v>
      </c>
    </row>
    <row r="48" spans="2:19" s="8" customFormat="1" ht="15" customHeight="1" thickBot="1" x14ac:dyDescent="0.25">
      <c r="B48" s="230"/>
      <c r="C48" s="241"/>
      <c r="D48" s="201" t="s">
        <v>143</v>
      </c>
      <c r="E48" s="291"/>
      <c r="F48" s="228"/>
      <c r="G48" s="87" t="s">
        <v>34</v>
      </c>
      <c r="H48" s="87" t="s">
        <v>34</v>
      </c>
      <c r="I48" s="65" t="s">
        <v>111</v>
      </c>
      <c r="J48" s="50"/>
      <c r="K48" s="41">
        <v>1</v>
      </c>
      <c r="L48" s="51"/>
      <c r="M48" s="50" t="s">
        <v>90</v>
      </c>
      <c r="N48" s="57" t="s">
        <v>14</v>
      </c>
      <c r="O48" s="48">
        <v>300</v>
      </c>
      <c r="P48" s="34">
        <v>300</v>
      </c>
      <c r="Q48" s="34">
        <v>300</v>
      </c>
      <c r="R48" s="172">
        <f t="shared" si="4"/>
        <v>900</v>
      </c>
      <c r="S48" s="83" t="s">
        <v>32</v>
      </c>
    </row>
    <row r="49" spans="2:19" s="8" customFormat="1" ht="15" customHeight="1" x14ac:dyDescent="0.2">
      <c r="B49" s="230"/>
      <c r="C49" s="241"/>
      <c r="D49" s="131" t="s">
        <v>315</v>
      </c>
      <c r="E49" s="226" t="s">
        <v>62</v>
      </c>
      <c r="F49" s="226"/>
      <c r="G49" s="77" t="s">
        <v>34</v>
      </c>
      <c r="H49" s="77" t="s">
        <v>34</v>
      </c>
      <c r="I49" s="64" t="s">
        <v>42</v>
      </c>
      <c r="J49" s="46"/>
      <c r="K49" s="40">
        <v>1</v>
      </c>
      <c r="L49" s="47"/>
      <c r="M49" s="46" t="s">
        <v>15</v>
      </c>
      <c r="N49" s="55" t="s">
        <v>14</v>
      </c>
      <c r="O49" s="46">
        <v>300</v>
      </c>
      <c r="P49" s="40"/>
      <c r="Q49" s="40"/>
      <c r="R49" s="173">
        <f t="shared" si="4"/>
        <v>300</v>
      </c>
      <c r="S49" s="66" t="s">
        <v>32</v>
      </c>
    </row>
    <row r="50" spans="2:19" s="8" customFormat="1" ht="15" customHeight="1" x14ac:dyDescent="0.2">
      <c r="B50" s="230"/>
      <c r="C50" s="241"/>
      <c r="D50" s="132" t="s">
        <v>316</v>
      </c>
      <c r="E50" s="227"/>
      <c r="F50" s="227"/>
      <c r="G50" s="45" t="s">
        <v>34</v>
      </c>
      <c r="H50" s="45" t="s">
        <v>34</v>
      </c>
      <c r="I50" s="42" t="s">
        <v>42</v>
      </c>
      <c r="J50" s="48"/>
      <c r="K50" s="34">
        <v>1</v>
      </c>
      <c r="L50" s="49"/>
      <c r="M50" s="48" t="s">
        <v>15</v>
      </c>
      <c r="N50" s="56" t="s">
        <v>14</v>
      </c>
      <c r="O50" s="48"/>
      <c r="P50" s="34">
        <v>300</v>
      </c>
      <c r="Q50" s="34"/>
      <c r="R50" s="174">
        <f t="shared" si="4"/>
        <v>300</v>
      </c>
      <c r="S50" s="75" t="s">
        <v>32</v>
      </c>
    </row>
    <row r="51" spans="2:19" s="8" customFormat="1" ht="15" customHeight="1" x14ac:dyDescent="0.2">
      <c r="B51" s="230"/>
      <c r="C51" s="241"/>
      <c r="D51" s="132" t="s">
        <v>317</v>
      </c>
      <c r="E51" s="227"/>
      <c r="F51" s="227"/>
      <c r="G51" s="45" t="s">
        <v>34</v>
      </c>
      <c r="H51" s="45" t="s">
        <v>34</v>
      </c>
      <c r="I51" s="42" t="s">
        <v>42</v>
      </c>
      <c r="J51" s="48"/>
      <c r="K51" s="34">
        <v>1</v>
      </c>
      <c r="L51" s="49"/>
      <c r="M51" s="48" t="s">
        <v>15</v>
      </c>
      <c r="N51" s="56" t="s">
        <v>14</v>
      </c>
      <c r="O51" s="48"/>
      <c r="P51" s="34"/>
      <c r="Q51" s="34">
        <v>300</v>
      </c>
      <c r="R51" s="174">
        <f t="shared" si="4"/>
        <v>300</v>
      </c>
      <c r="S51" s="75" t="s">
        <v>32</v>
      </c>
    </row>
    <row r="52" spans="2:19" s="8" customFormat="1" ht="15" customHeight="1" x14ac:dyDescent="0.2">
      <c r="B52" s="230"/>
      <c r="C52" s="241"/>
      <c r="D52" s="132" t="s">
        <v>318</v>
      </c>
      <c r="E52" s="227"/>
      <c r="F52" s="227"/>
      <c r="G52" s="45" t="s">
        <v>34</v>
      </c>
      <c r="H52" s="45" t="s">
        <v>34</v>
      </c>
      <c r="I52" s="42" t="s">
        <v>42</v>
      </c>
      <c r="J52" s="48"/>
      <c r="K52" s="34">
        <v>1</v>
      </c>
      <c r="L52" s="49"/>
      <c r="M52" s="48" t="s">
        <v>15</v>
      </c>
      <c r="N52" s="56" t="s">
        <v>14</v>
      </c>
      <c r="O52" s="48">
        <v>300</v>
      </c>
      <c r="P52" s="34"/>
      <c r="Q52" s="34"/>
      <c r="R52" s="174">
        <f t="shared" si="4"/>
        <v>300</v>
      </c>
      <c r="S52" s="75" t="s">
        <v>32</v>
      </c>
    </row>
    <row r="53" spans="2:19" s="8" customFormat="1" ht="15" customHeight="1" x14ac:dyDescent="0.2">
      <c r="B53" s="230"/>
      <c r="C53" s="241"/>
      <c r="D53" s="132" t="s">
        <v>319</v>
      </c>
      <c r="E53" s="227"/>
      <c r="F53" s="227"/>
      <c r="G53" s="45" t="s">
        <v>34</v>
      </c>
      <c r="H53" s="45" t="s">
        <v>34</v>
      </c>
      <c r="I53" s="42" t="s">
        <v>42</v>
      </c>
      <c r="J53" s="48"/>
      <c r="K53" s="34">
        <v>1</v>
      </c>
      <c r="L53" s="49"/>
      <c r="M53" s="48" t="s">
        <v>15</v>
      </c>
      <c r="N53" s="56" t="s">
        <v>14</v>
      </c>
      <c r="O53" s="48"/>
      <c r="P53" s="34">
        <v>300</v>
      </c>
      <c r="Q53" s="34"/>
      <c r="R53" s="174">
        <f t="shared" si="4"/>
        <v>300</v>
      </c>
      <c r="S53" s="75" t="s">
        <v>32</v>
      </c>
    </row>
    <row r="54" spans="2:19" s="8" customFormat="1" ht="15" customHeight="1" x14ac:dyDescent="0.2">
      <c r="B54" s="230"/>
      <c r="C54" s="241"/>
      <c r="D54" s="132" t="s">
        <v>320</v>
      </c>
      <c r="E54" s="227"/>
      <c r="F54" s="227"/>
      <c r="G54" s="45" t="s">
        <v>34</v>
      </c>
      <c r="H54" s="45" t="s">
        <v>34</v>
      </c>
      <c r="I54" s="42" t="s">
        <v>42</v>
      </c>
      <c r="J54" s="48"/>
      <c r="K54" s="34">
        <v>1</v>
      </c>
      <c r="L54" s="49"/>
      <c r="M54" s="48" t="s">
        <v>15</v>
      </c>
      <c r="N54" s="56" t="s">
        <v>14</v>
      </c>
      <c r="O54" s="48"/>
      <c r="P54" s="34"/>
      <c r="Q54" s="34">
        <v>300</v>
      </c>
      <c r="R54" s="174">
        <f t="shared" ref="R54:R56" si="5">SUM(O54:Q54)</f>
        <v>300</v>
      </c>
      <c r="S54" s="75" t="s">
        <v>32</v>
      </c>
    </row>
    <row r="55" spans="2:19" s="8" customFormat="1" ht="15" customHeight="1" x14ac:dyDescent="0.2">
      <c r="B55" s="230"/>
      <c r="C55" s="241"/>
      <c r="D55" s="132" t="s">
        <v>321</v>
      </c>
      <c r="E55" s="227"/>
      <c r="F55" s="227"/>
      <c r="G55" s="45" t="s">
        <v>34</v>
      </c>
      <c r="H55" s="45" t="s">
        <v>34</v>
      </c>
      <c r="I55" s="42" t="s">
        <v>42</v>
      </c>
      <c r="J55" s="48"/>
      <c r="K55" s="34">
        <v>1</v>
      </c>
      <c r="L55" s="49"/>
      <c r="M55" s="48" t="s">
        <v>15</v>
      </c>
      <c r="N55" s="56" t="s">
        <v>14</v>
      </c>
      <c r="O55" s="48">
        <v>300</v>
      </c>
      <c r="P55" s="34"/>
      <c r="Q55" s="34"/>
      <c r="R55" s="174">
        <f t="shared" si="5"/>
        <v>300</v>
      </c>
      <c r="S55" s="75" t="s">
        <v>32</v>
      </c>
    </row>
    <row r="56" spans="2:19" s="8" customFormat="1" ht="15" customHeight="1" thickBot="1" x14ac:dyDescent="0.25">
      <c r="B56" s="230"/>
      <c r="C56" s="241"/>
      <c r="D56" s="133" t="s">
        <v>322</v>
      </c>
      <c r="E56" s="228"/>
      <c r="F56" s="228"/>
      <c r="G56" s="87" t="s">
        <v>34</v>
      </c>
      <c r="H56" s="87" t="s">
        <v>34</v>
      </c>
      <c r="I56" s="65" t="s">
        <v>111</v>
      </c>
      <c r="J56" s="50"/>
      <c r="K56" s="41">
        <v>1</v>
      </c>
      <c r="L56" s="51"/>
      <c r="M56" s="50" t="s">
        <v>90</v>
      </c>
      <c r="N56" s="57" t="s">
        <v>14</v>
      </c>
      <c r="O56" s="48">
        <v>300</v>
      </c>
      <c r="P56" s="34">
        <v>300</v>
      </c>
      <c r="Q56" s="34">
        <v>300</v>
      </c>
      <c r="R56" s="172">
        <f t="shared" si="5"/>
        <v>900</v>
      </c>
      <c r="S56" s="76" t="s">
        <v>362</v>
      </c>
    </row>
    <row r="57" spans="2:19" s="8" customFormat="1" ht="15" customHeight="1" x14ac:dyDescent="0.2">
      <c r="B57" s="230"/>
      <c r="C57" s="241"/>
      <c r="D57" s="202" t="s">
        <v>40</v>
      </c>
      <c r="E57" s="253" t="s">
        <v>83</v>
      </c>
      <c r="F57" s="254"/>
      <c r="G57" s="77" t="s">
        <v>34</v>
      </c>
      <c r="H57" s="77" t="s">
        <v>34</v>
      </c>
      <c r="I57" s="64" t="s">
        <v>111</v>
      </c>
      <c r="J57" s="103"/>
      <c r="K57" s="40"/>
      <c r="L57" s="47">
        <v>1</v>
      </c>
      <c r="M57" s="46" t="s">
        <v>90</v>
      </c>
      <c r="N57" s="55" t="s">
        <v>115</v>
      </c>
      <c r="O57" s="46">
        <v>2150</v>
      </c>
      <c r="P57" s="40">
        <v>2150</v>
      </c>
      <c r="Q57" s="40">
        <v>2150</v>
      </c>
      <c r="R57" s="170">
        <f t="shared" ref="R57:R66" si="6">SUM(O57:Q57)</f>
        <v>6450</v>
      </c>
      <c r="S57" s="67" t="s">
        <v>182</v>
      </c>
    </row>
    <row r="58" spans="2:19" s="8" customFormat="1" ht="15" customHeight="1" x14ac:dyDescent="0.2">
      <c r="B58" s="230"/>
      <c r="C58" s="241"/>
      <c r="D58" s="134" t="s">
        <v>41</v>
      </c>
      <c r="E58" s="245"/>
      <c r="F58" s="246"/>
      <c r="G58" s="45" t="s">
        <v>34</v>
      </c>
      <c r="H58" s="45" t="s">
        <v>34</v>
      </c>
      <c r="I58" s="42" t="s">
        <v>111</v>
      </c>
      <c r="J58" s="58"/>
      <c r="K58" s="34"/>
      <c r="L58" s="49">
        <v>1</v>
      </c>
      <c r="M58" s="48" t="s">
        <v>90</v>
      </c>
      <c r="N58" s="56" t="s">
        <v>115</v>
      </c>
      <c r="O58" s="48">
        <v>2250</v>
      </c>
      <c r="P58" s="34">
        <v>2250</v>
      </c>
      <c r="Q58" s="34">
        <v>2250</v>
      </c>
      <c r="R58" s="171">
        <f t="shared" si="6"/>
        <v>6750</v>
      </c>
      <c r="S58" s="75" t="s">
        <v>183</v>
      </c>
    </row>
    <row r="59" spans="2:19" s="8" customFormat="1" ht="15" customHeight="1" x14ac:dyDescent="0.2">
      <c r="B59" s="230"/>
      <c r="C59" s="241"/>
      <c r="D59" s="134" t="s">
        <v>43</v>
      </c>
      <c r="E59" s="245"/>
      <c r="F59" s="246"/>
      <c r="G59" s="45" t="s">
        <v>34</v>
      </c>
      <c r="H59" s="45" t="s">
        <v>34</v>
      </c>
      <c r="I59" s="42" t="s">
        <v>42</v>
      </c>
      <c r="J59" s="58"/>
      <c r="K59" s="34"/>
      <c r="L59" s="49">
        <v>1</v>
      </c>
      <c r="M59" s="48" t="s">
        <v>15</v>
      </c>
      <c r="N59" s="56" t="s">
        <v>14</v>
      </c>
      <c r="O59" s="48">
        <v>500</v>
      </c>
      <c r="P59" s="34"/>
      <c r="Q59" s="34"/>
      <c r="R59" s="171">
        <f t="shared" si="6"/>
        <v>500</v>
      </c>
      <c r="S59" s="75" t="s">
        <v>184</v>
      </c>
    </row>
    <row r="60" spans="2:19" s="8" customFormat="1" ht="15" customHeight="1" x14ac:dyDescent="0.2">
      <c r="B60" s="230"/>
      <c r="C60" s="241"/>
      <c r="D60" s="134" t="s">
        <v>44</v>
      </c>
      <c r="E60" s="245"/>
      <c r="F60" s="246"/>
      <c r="G60" s="45" t="s">
        <v>34</v>
      </c>
      <c r="H60" s="45" t="s">
        <v>34</v>
      </c>
      <c r="I60" s="42" t="s">
        <v>111</v>
      </c>
      <c r="J60" s="58"/>
      <c r="K60" s="34"/>
      <c r="L60" s="49">
        <v>1</v>
      </c>
      <c r="M60" s="48" t="s">
        <v>90</v>
      </c>
      <c r="N60" s="56" t="s">
        <v>115</v>
      </c>
      <c r="O60" s="48">
        <v>2350</v>
      </c>
      <c r="P60" s="34">
        <v>2350</v>
      </c>
      <c r="Q60" s="34">
        <v>2350</v>
      </c>
      <c r="R60" s="171">
        <f t="shared" si="6"/>
        <v>7050</v>
      </c>
      <c r="S60" s="75" t="s">
        <v>185</v>
      </c>
    </row>
    <row r="61" spans="2:19" s="8" customFormat="1" ht="15" customHeight="1" thickBot="1" x14ac:dyDescent="0.25">
      <c r="B61" s="230"/>
      <c r="C61" s="241"/>
      <c r="D61" s="135" t="s">
        <v>45</v>
      </c>
      <c r="E61" s="255"/>
      <c r="F61" s="256"/>
      <c r="G61" s="87" t="s">
        <v>34</v>
      </c>
      <c r="H61" s="87" t="s">
        <v>34</v>
      </c>
      <c r="I61" s="60" t="s">
        <v>111</v>
      </c>
      <c r="J61" s="78"/>
      <c r="K61" s="41"/>
      <c r="L61" s="51">
        <v>1</v>
      </c>
      <c r="M61" s="50" t="s">
        <v>90</v>
      </c>
      <c r="N61" s="57" t="s">
        <v>115</v>
      </c>
      <c r="O61" s="50">
        <v>2350</v>
      </c>
      <c r="P61" s="41">
        <v>2350</v>
      </c>
      <c r="Q61" s="41">
        <v>2350</v>
      </c>
      <c r="R61" s="172">
        <f t="shared" si="6"/>
        <v>7050</v>
      </c>
      <c r="S61" s="76" t="s">
        <v>186</v>
      </c>
    </row>
    <row r="62" spans="2:19" s="8" customFormat="1" ht="15" customHeight="1" x14ac:dyDescent="0.2">
      <c r="B62" s="230"/>
      <c r="C62" s="241"/>
      <c r="D62" s="136" t="s">
        <v>179</v>
      </c>
      <c r="E62" s="298" t="s">
        <v>62</v>
      </c>
      <c r="F62" s="299"/>
      <c r="G62" s="93" t="s">
        <v>34</v>
      </c>
      <c r="H62" s="93" t="s">
        <v>34</v>
      </c>
      <c r="I62" s="64" t="s">
        <v>42</v>
      </c>
      <c r="J62" s="86"/>
      <c r="K62" s="62"/>
      <c r="L62" s="63">
        <v>1</v>
      </c>
      <c r="M62" s="48" t="s">
        <v>15</v>
      </c>
      <c r="N62" s="56" t="s">
        <v>14</v>
      </c>
      <c r="O62" s="61">
        <v>500</v>
      </c>
      <c r="P62" s="62"/>
      <c r="Q62" s="62"/>
      <c r="R62" s="176">
        <f t="shared" ref="R62" si="7">SUM(O62:Q62)</f>
        <v>500</v>
      </c>
      <c r="S62" s="75" t="s">
        <v>292</v>
      </c>
    </row>
    <row r="63" spans="2:19" s="8" customFormat="1" ht="15" customHeight="1" x14ac:dyDescent="0.2">
      <c r="B63" s="230"/>
      <c r="C63" s="241"/>
      <c r="D63" s="137" t="s">
        <v>180</v>
      </c>
      <c r="E63" s="251"/>
      <c r="F63" s="252"/>
      <c r="G63" s="45" t="s">
        <v>34</v>
      </c>
      <c r="H63" s="45" t="s">
        <v>34</v>
      </c>
      <c r="I63" s="42" t="s">
        <v>42</v>
      </c>
      <c r="J63" s="58"/>
      <c r="K63" s="34"/>
      <c r="L63" s="49">
        <v>1</v>
      </c>
      <c r="M63" s="48" t="s">
        <v>15</v>
      </c>
      <c r="N63" s="56" t="s">
        <v>14</v>
      </c>
      <c r="O63" s="48"/>
      <c r="P63" s="34">
        <v>500</v>
      </c>
      <c r="Q63" s="34"/>
      <c r="R63" s="171">
        <f t="shared" si="6"/>
        <v>500</v>
      </c>
      <c r="S63" s="75" t="s">
        <v>293</v>
      </c>
    </row>
    <row r="64" spans="2:19" s="8" customFormat="1" ht="15" customHeight="1" x14ac:dyDescent="0.2">
      <c r="B64" s="230"/>
      <c r="C64" s="241"/>
      <c r="D64" s="137" t="s">
        <v>181</v>
      </c>
      <c r="E64" s="251"/>
      <c r="F64" s="252"/>
      <c r="G64" s="45" t="s">
        <v>34</v>
      </c>
      <c r="H64" s="45" t="s">
        <v>34</v>
      </c>
      <c r="I64" s="42" t="s">
        <v>42</v>
      </c>
      <c r="J64" s="58"/>
      <c r="K64" s="34"/>
      <c r="L64" s="49">
        <v>1</v>
      </c>
      <c r="M64" s="48" t="s">
        <v>15</v>
      </c>
      <c r="N64" s="56" t="s">
        <v>14</v>
      </c>
      <c r="O64" s="48"/>
      <c r="P64" s="34"/>
      <c r="Q64" s="34">
        <v>500</v>
      </c>
      <c r="R64" s="171">
        <f t="shared" si="6"/>
        <v>500</v>
      </c>
      <c r="S64" s="75" t="s">
        <v>294</v>
      </c>
    </row>
    <row r="65" spans="2:19" s="8" customFormat="1" ht="15" customHeight="1" x14ac:dyDescent="0.2">
      <c r="B65" s="230"/>
      <c r="C65" s="241"/>
      <c r="D65" s="137" t="s">
        <v>187</v>
      </c>
      <c r="E65" s="251"/>
      <c r="F65" s="252"/>
      <c r="G65" s="45" t="s">
        <v>34</v>
      </c>
      <c r="H65" s="45" t="s">
        <v>34</v>
      </c>
      <c r="I65" s="42" t="s">
        <v>42</v>
      </c>
      <c r="J65" s="58"/>
      <c r="K65" s="34"/>
      <c r="L65" s="49">
        <v>1</v>
      </c>
      <c r="M65" s="48" t="s">
        <v>15</v>
      </c>
      <c r="N65" s="56" t="s">
        <v>14</v>
      </c>
      <c r="O65" s="48"/>
      <c r="P65" s="34"/>
      <c r="Q65" s="34">
        <v>400</v>
      </c>
      <c r="R65" s="171">
        <f t="shared" si="6"/>
        <v>400</v>
      </c>
      <c r="S65" s="75" t="s">
        <v>32</v>
      </c>
    </row>
    <row r="66" spans="2:19" s="8" customFormat="1" ht="15" customHeight="1" thickBot="1" x14ac:dyDescent="0.25">
      <c r="B66" s="230"/>
      <c r="C66" s="241"/>
      <c r="D66" s="138" t="s">
        <v>188</v>
      </c>
      <c r="E66" s="268"/>
      <c r="F66" s="269"/>
      <c r="G66" s="87" t="s">
        <v>34</v>
      </c>
      <c r="H66" s="87" t="s">
        <v>34</v>
      </c>
      <c r="I66" s="65" t="s">
        <v>111</v>
      </c>
      <c r="J66" s="78"/>
      <c r="K66" s="41"/>
      <c r="L66" s="51">
        <v>1</v>
      </c>
      <c r="M66" s="50" t="s">
        <v>90</v>
      </c>
      <c r="N66" s="57" t="s">
        <v>14</v>
      </c>
      <c r="O66" s="50">
        <v>300</v>
      </c>
      <c r="P66" s="41">
        <v>300</v>
      </c>
      <c r="Q66" s="41">
        <v>300</v>
      </c>
      <c r="R66" s="172">
        <f t="shared" si="6"/>
        <v>900</v>
      </c>
      <c r="S66" s="76" t="s">
        <v>32</v>
      </c>
    </row>
    <row r="67" spans="2:19" s="8" customFormat="1" ht="15" customHeight="1" x14ac:dyDescent="0.2">
      <c r="B67" s="230"/>
      <c r="C67" s="241"/>
      <c r="D67" s="139" t="s">
        <v>162</v>
      </c>
      <c r="E67" s="243" t="s">
        <v>92</v>
      </c>
      <c r="F67" s="244"/>
      <c r="G67" s="93" t="s">
        <v>34</v>
      </c>
      <c r="H67" s="93" t="s">
        <v>34</v>
      </c>
      <c r="I67" s="94" t="s">
        <v>85</v>
      </c>
      <c r="J67" s="61"/>
      <c r="K67" s="62"/>
      <c r="L67" s="63">
        <v>1</v>
      </c>
      <c r="M67" s="61" t="s">
        <v>15</v>
      </c>
      <c r="N67" s="80" t="s">
        <v>14</v>
      </c>
      <c r="O67" s="62">
        <v>100</v>
      </c>
      <c r="P67" s="62"/>
      <c r="Q67" s="62"/>
      <c r="R67" s="177">
        <f t="shared" ref="R67:R85" si="8">SUM(O67:Q67)</f>
        <v>100</v>
      </c>
      <c r="S67" s="67" t="s">
        <v>172</v>
      </c>
    </row>
    <row r="68" spans="2:19" s="8" customFormat="1" ht="15" customHeight="1" x14ac:dyDescent="0.2">
      <c r="B68" s="230"/>
      <c r="C68" s="241"/>
      <c r="D68" s="140" t="s">
        <v>163</v>
      </c>
      <c r="E68" s="245"/>
      <c r="F68" s="246"/>
      <c r="G68" s="45" t="s">
        <v>34</v>
      </c>
      <c r="H68" s="45" t="s">
        <v>34</v>
      </c>
      <c r="I68" s="90" t="s">
        <v>85</v>
      </c>
      <c r="J68" s="48"/>
      <c r="K68" s="34"/>
      <c r="L68" s="49">
        <v>1</v>
      </c>
      <c r="M68" s="48" t="s">
        <v>15</v>
      </c>
      <c r="N68" s="56" t="s">
        <v>14</v>
      </c>
      <c r="O68" s="34"/>
      <c r="P68" s="34">
        <v>100</v>
      </c>
      <c r="Q68" s="34"/>
      <c r="R68" s="174">
        <f t="shared" si="8"/>
        <v>100</v>
      </c>
      <c r="S68" s="75" t="s">
        <v>173</v>
      </c>
    </row>
    <row r="69" spans="2:19" s="8" customFormat="1" ht="15" customHeight="1" x14ac:dyDescent="0.2">
      <c r="B69" s="230"/>
      <c r="C69" s="241"/>
      <c r="D69" s="140" t="s">
        <v>164</v>
      </c>
      <c r="E69" s="245"/>
      <c r="F69" s="246"/>
      <c r="G69" s="45" t="s">
        <v>34</v>
      </c>
      <c r="H69" s="45" t="s">
        <v>34</v>
      </c>
      <c r="I69" s="90" t="s">
        <v>85</v>
      </c>
      <c r="J69" s="48"/>
      <c r="K69" s="34"/>
      <c r="L69" s="49">
        <v>1</v>
      </c>
      <c r="M69" s="48" t="s">
        <v>15</v>
      </c>
      <c r="N69" s="56" t="s">
        <v>14</v>
      </c>
      <c r="O69" s="34"/>
      <c r="P69" s="34"/>
      <c r="Q69" s="34">
        <v>250</v>
      </c>
      <c r="R69" s="174">
        <f t="shared" si="8"/>
        <v>250</v>
      </c>
      <c r="S69" s="75" t="s">
        <v>290</v>
      </c>
    </row>
    <row r="70" spans="2:19" s="8" customFormat="1" ht="15" customHeight="1" x14ac:dyDescent="0.2">
      <c r="B70" s="230"/>
      <c r="C70" s="241"/>
      <c r="D70" s="140" t="s">
        <v>165</v>
      </c>
      <c r="E70" s="245"/>
      <c r="F70" s="246"/>
      <c r="G70" s="45" t="s">
        <v>34</v>
      </c>
      <c r="H70" s="45" t="s">
        <v>34</v>
      </c>
      <c r="I70" s="90" t="s">
        <v>85</v>
      </c>
      <c r="J70" s="48"/>
      <c r="K70" s="34"/>
      <c r="L70" s="49">
        <v>1</v>
      </c>
      <c r="M70" s="48" t="s">
        <v>15</v>
      </c>
      <c r="N70" s="56" t="s">
        <v>14</v>
      </c>
      <c r="O70" s="34">
        <v>100</v>
      </c>
      <c r="P70" s="34"/>
      <c r="Q70" s="34"/>
      <c r="R70" s="174">
        <f t="shared" si="8"/>
        <v>100</v>
      </c>
      <c r="S70" s="75" t="s">
        <v>174</v>
      </c>
    </row>
    <row r="71" spans="2:19" s="8" customFormat="1" ht="15" customHeight="1" thickBot="1" x14ac:dyDescent="0.25">
      <c r="B71" s="230"/>
      <c r="C71" s="241"/>
      <c r="D71" s="141" t="s">
        <v>166</v>
      </c>
      <c r="E71" s="255"/>
      <c r="F71" s="256"/>
      <c r="G71" s="87" t="s">
        <v>34</v>
      </c>
      <c r="H71" s="87" t="s">
        <v>34</v>
      </c>
      <c r="I71" s="91" t="s">
        <v>85</v>
      </c>
      <c r="J71" s="50"/>
      <c r="K71" s="41"/>
      <c r="L71" s="51">
        <v>1</v>
      </c>
      <c r="M71" s="50" t="s">
        <v>15</v>
      </c>
      <c r="N71" s="57" t="s">
        <v>14</v>
      </c>
      <c r="O71" s="41"/>
      <c r="P71" s="41">
        <v>100</v>
      </c>
      <c r="Q71" s="41"/>
      <c r="R71" s="175">
        <f t="shared" si="8"/>
        <v>100</v>
      </c>
      <c r="S71" s="76" t="s">
        <v>175</v>
      </c>
    </row>
    <row r="72" spans="2:19" s="8" customFormat="1" ht="15" customHeight="1" x14ac:dyDescent="0.2">
      <c r="B72" s="230"/>
      <c r="C72" s="241"/>
      <c r="D72" s="142" t="s">
        <v>167</v>
      </c>
      <c r="E72" s="253" t="s">
        <v>92</v>
      </c>
      <c r="F72" s="254"/>
      <c r="G72" s="77" t="s">
        <v>34</v>
      </c>
      <c r="H72" s="77" t="s">
        <v>34</v>
      </c>
      <c r="I72" s="89" t="s">
        <v>85</v>
      </c>
      <c r="J72" s="46"/>
      <c r="K72" s="40"/>
      <c r="L72" s="47">
        <v>1</v>
      </c>
      <c r="M72" s="46" t="s">
        <v>15</v>
      </c>
      <c r="N72" s="55" t="s">
        <v>14</v>
      </c>
      <c r="O72" s="40"/>
      <c r="P72" s="40"/>
      <c r="Q72" s="40">
        <v>100</v>
      </c>
      <c r="R72" s="173">
        <f t="shared" si="8"/>
        <v>100</v>
      </c>
      <c r="S72" s="66" t="s">
        <v>176</v>
      </c>
    </row>
    <row r="73" spans="2:19" s="8" customFormat="1" ht="15" customHeight="1" x14ac:dyDescent="0.2">
      <c r="B73" s="230"/>
      <c r="C73" s="241"/>
      <c r="D73" s="140" t="s">
        <v>168</v>
      </c>
      <c r="E73" s="245"/>
      <c r="F73" s="246"/>
      <c r="G73" s="45" t="s">
        <v>34</v>
      </c>
      <c r="H73" s="45" t="s">
        <v>34</v>
      </c>
      <c r="I73" s="90" t="s">
        <v>85</v>
      </c>
      <c r="J73" s="48"/>
      <c r="K73" s="34"/>
      <c r="L73" s="49">
        <v>1</v>
      </c>
      <c r="M73" s="48" t="s">
        <v>15</v>
      </c>
      <c r="N73" s="56" t="s">
        <v>14</v>
      </c>
      <c r="O73" s="34">
        <v>250</v>
      </c>
      <c r="P73" s="34"/>
      <c r="Q73" s="34"/>
      <c r="R73" s="174">
        <f t="shared" si="8"/>
        <v>250</v>
      </c>
      <c r="S73" s="75" t="s">
        <v>291</v>
      </c>
    </row>
    <row r="74" spans="2:19" s="8" customFormat="1" ht="15" customHeight="1" x14ac:dyDescent="0.2">
      <c r="B74" s="230"/>
      <c r="C74" s="241"/>
      <c r="D74" s="140" t="s">
        <v>169</v>
      </c>
      <c r="E74" s="245"/>
      <c r="F74" s="246"/>
      <c r="G74" s="45" t="s">
        <v>34</v>
      </c>
      <c r="H74" s="45" t="s">
        <v>34</v>
      </c>
      <c r="I74" s="90" t="s">
        <v>85</v>
      </c>
      <c r="J74" s="48"/>
      <c r="K74" s="34"/>
      <c r="L74" s="49">
        <v>1</v>
      </c>
      <c r="M74" s="48" t="s">
        <v>15</v>
      </c>
      <c r="N74" s="56" t="s">
        <v>14</v>
      </c>
      <c r="O74" s="34"/>
      <c r="P74" s="34">
        <v>100</v>
      </c>
      <c r="Q74" s="34"/>
      <c r="R74" s="174">
        <f t="shared" si="8"/>
        <v>100</v>
      </c>
      <c r="S74" s="75" t="s">
        <v>177</v>
      </c>
    </row>
    <row r="75" spans="2:19" s="8" customFormat="1" ht="15" customHeight="1" x14ac:dyDescent="0.2">
      <c r="B75" s="230"/>
      <c r="C75" s="241"/>
      <c r="D75" s="140" t="s">
        <v>170</v>
      </c>
      <c r="E75" s="245"/>
      <c r="F75" s="246"/>
      <c r="G75" s="45" t="s">
        <v>34</v>
      </c>
      <c r="H75" s="45" t="s">
        <v>34</v>
      </c>
      <c r="I75" s="90" t="s">
        <v>85</v>
      </c>
      <c r="J75" s="48"/>
      <c r="K75" s="34"/>
      <c r="L75" s="49">
        <v>1</v>
      </c>
      <c r="M75" s="48" t="s">
        <v>15</v>
      </c>
      <c r="N75" s="56" t="s">
        <v>14</v>
      </c>
      <c r="O75" s="34"/>
      <c r="P75" s="34"/>
      <c r="Q75" s="34">
        <v>100</v>
      </c>
      <c r="R75" s="174">
        <f t="shared" si="8"/>
        <v>100</v>
      </c>
      <c r="S75" s="75" t="s">
        <v>178</v>
      </c>
    </row>
    <row r="76" spans="2:19" s="8" customFormat="1" ht="15" customHeight="1" thickBot="1" x14ac:dyDescent="0.25">
      <c r="B76" s="230"/>
      <c r="C76" s="241"/>
      <c r="D76" s="141" t="s">
        <v>171</v>
      </c>
      <c r="E76" s="255"/>
      <c r="F76" s="256"/>
      <c r="G76" s="87" t="s">
        <v>34</v>
      </c>
      <c r="H76" s="87" t="s">
        <v>34</v>
      </c>
      <c r="I76" s="216" t="s">
        <v>85</v>
      </c>
      <c r="J76" s="50"/>
      <c r="K76" s="41"/>
      <c r="L76" s="51">
        <v>1</v>
      </c>
      <c r="M76" s="50" t="s">
        <v>15</v>
      </c>
      <c r="N76" s="57" t="s">
        <v>14</v>
      </c>
      <c r="O76" s="53">
        <v>100</v>
      </c>
      <c r="P76" s="53"/>
      <c r="Q76" s="53"/>
      <c r="R76" s="179">
        <f t="shared" si="8"/>
        <v>100</v>
      </c>
      <c r="S76" s="83" t="s">
        <v>32</v>
      </c>
    </row>
    <row r="77" spans="2:19" s="8" customFormat="1" ht="15" customHeight="1" x14ac:dyDescent="0.2">
      <c r="B77" s="230"/>
      <c r="C77" s="241"/>
      <c r="D77" s="143" t="s">
        <v>97</v>
      </c>
      <c r="E77" s="253" t="s">
        <v>244</v>
      </c>
      <c r="F77" s="254"/>
      <c r="G77" s="59" t="s">
        <v>350</v>
      </c>
      <c r="H77" s="215" t="s">
        <v>351</v>
      </c>
      <c r="I77" s="64" t="s">
        <v>357</v>
      </c>
      <c r="J77" s="103"/>
      <c r="K77" s="40"/>
      <c r="L77" s="47">
        <v>1</v>
      </c>
      <c r="M77" s="46" t="s">
        <v>90</v>
      </c>
      <c r="N77" s="191" t="s">
        <v>14</v>
      </c>
      <c r="O77" s="46">
        <v>1850</v>
      </c>
      <c r="P77" s="40">
        <v>1850</v>
      </c>
      <c r="Q77" s="40">
        <v>1850</v>
      </c>
      <c r="R77" s="173">
        <f t="shared" si="8"/>
        <v>5550</v>
      </c>
      <c r="S77" s="66" t="s">
        <v>108</v>
      </c>
    </row>
    <row r="78" spans="2:19" s="8" customFormat="1" ht="15" customHeight="1" x14ac:dyDescent="0.2">
      <c r="B78" s="230"/>
      <c r="C78" s="241"/>
      <c r="D78" s="144" t="s">
        <v>98</v>
      </c>
      <c r="E78" s="245"/>
      <c r="F78" s="246"/>
      <c r="G78" s="59" t="s">
        <v>350</v>
      </c>
      <c r="H78" s="215" t="s">
        <v>351</v>
      </c>
      <c r="I78" s="42" t="s">
        <v>357</v>
      </c>
      <c r="J78" s="58"/>
      <c r="K78" s="34"/>
      <c r="L78" s="49">
        <v>1</v>
      </c>
      <c r="M78" s="48" t="s">
        <v>90</v>
      </c>
      <c r="N78" s="192" t="s">
        <v>14</v>
      </c>
      <c r="O78" s="48">
        <v>1400</v>
      </c>
      <c r="P78" s="34">
        <v>1400</v>
      </c>
      <c r="Q78" s="34">
        <v>1400</v>
      </c>
      <c r="R78" s="174">
        <f t="shared" si="8"/>
        <v>4200</v>
      </c>
      <c r="S78" s="75" t="s">
        <v>107</v>
      </c>
    </row>
    <row r="79" spans="2:19" s="8" customFormat="1" ht="15" customHeight="1" x14ac:dyDescent="0.2">
      <c r="B79" s="230"/>
      <c r="C79" s="241"/>
      <c r="D79" s="144" t="s">
        <v>99</v>
      </c>
      <c r="E79" s="245"/>
      <c r="F79" s="246"/>
      <c r="G79" s="59" t="s">
        <v>350</v>
      </c>
      <c r="H79" s="215" t="s">
        <v>351</v>
      </c>
      <c r="I79" s="42" t="s">
        <v>357</v>
      </c>
      <c r="J79" s="58"/>
      <c r="K79" s="34"/>
      <c r="L79" s="49">
        <v>1</v>
      </c>
      <c r="M79" s="48" t="s">
        <v>90</v>
      </c>
      <c r="N79" s="192" t="s">
        <v>14</v>
      </c>
      <c r="O79" s="48">
        <v>1850</v>
      </c>
      <c r="P79" s="34">
        <v>1850</v>
      </c>
      <c r="Q79" s="34">
        <v>1850</v>
      </c>
      <c r="R79" s="174">
        <f t="shared" ref="R79:R81" si="9">SUM(O79:Q79)</f>
        <v>5550</v>
      </c>
      <c r="S79" s="75" t="s">
        <v>109</v>
      </c>
    </row>
    <row r="80" spans="2:19" s="8" customFormat="1" ht="15" customHeight="1" x14ac:dyDescent="0.2">
      <c r="B80" s="230"/>
      <c r="C80" s="241"/>
      <c r="D80" s="144" t="s">
        <v>100</v>
      </c>
      <c r="E80" s="245"/>
      <c r="F80" s="246"/>
      <c r="G80" s="59" t="s">
        <v>350</v>
      </c>
      <c r="H80" s="215" t="s">
        <v>351</v>
      </c>
      <c r="I80" s="42" t="s">
        <v>357</v>
      </c>
      <c r="J80" s="58"/>
      <c r="K80" s="34"/>
      <c r="L80" s="49">
        <v>1</v>
      </c>
      <c r="M80" s="48" t="s">
        <v>90</v>
      </c>
      <c r="N80" s="192" t="s">
        <v>14</v>
      </c>
      <c r="O80" s="48">
        <v>1850</v>
      </c>
      <c r="P80" s="34">
        <v>1850</v>
      </c>
      <c r="Q80" s="34">
        <v>1850</v>
      </c>
      <c r="R80" s="174">
        <f t="shared" si="9"/>
        <v>5550</v>
      </c>
      <c r="S80" s="75" t="s">
        <v>110</v>
      </c>
    </row>
    <row r="81" spans="2:19" s="8" customFormat="1" ht="15" customHeight="1" thickBot="1" x14ac:dyDescent="0.25">
      <c r="B81" s="230"/>
      <c r="C81" s="241"/>
      <c r="D81" s="147" t="s">
        <v>101</v>
      </c>
      <c r="E81" s="255"/>
      <c r="F81" s="256"/>
      <c r="G81" s="59" t="s">
        <v>350</v>
      </c>
      <c r="H81" s="215" t="s">
        <v>351</v>
      </c>
      <c r="I81" s="65" t="s">
        <v>357</v>
      </c>
      <c r="J81" s="78"/>
      <c r="K81" s="41"/>
      <c r="L81" s="51">
        <v>1</v>
      </c>
      <c r="M81" s="50" t="s">
        <v>90</v>
      </c>
      <c r="N81" s="125" t="s">
        <v>14</v>
      </c>
      <c r="O81" s="50">
        <v>1400</v>
      </c>
      <c r="P81" s="41">
        <v>1400</v>
      </c>
      <c r="Q81" s="41">
        <v>1400</v>
      </c>
      <c r="R81" s="175">
        <f t="shared" si="9"/>
        <v>4200</v>
      </c>
      <c r="S81" s="76" t="s">
        <v>269</v>
      </c>
    </row>
    <row r="82" spans="2:19" s="8" customFormat="1" ht="15" customHeight="1" thickBot="1" x14ac:dyDescent="0.25">
      <c r="B82" s="230"/>
      <c r="C82" s="241"/>
      <c r="D82" s="146" t="s">
        <v>102</v>
      </c>
      <c r="E82" s="259" t="s">
        <v>117</v>
      </c>
      <c r="F82" s="260"/>
      <c r="G82" s="107" t="s">
        <v>34</v>
      </c>
      <c r="H82" s="107" t="s">
        <v>34</v>
      </c>
      <c r="I82" s="213" t="s">
        <v>112</v>
      </c>
      <c r="J82" s="109"/>
      <c r="K82" s="108"/>
      <c r="L82" s="112">
        <v>1</v>
      </c>
      <c r="M82" s="109" t="s">
        <v>89</v>
      </c>
      <c r="N82" s="110" t="s">
        <v>14</v>
      </c>
      <c r="O82" s="193"/>
      <c r="P82" s="194">
        <v>500</v>
      </c>
      <c r="Q82" s="194"/>
      <c r="R82" s="195">
        <f t="shared" si="8"/>
        <v>500</v>
      </c>
      <c r="S82" s="10" t="s">
        <v>32</v>
      </c>
    </row>
    <row r="83" spans="2:19" s="8" customFormat="1" ht="15" customHeight="1" thickBot="1" x14ac:dyDescent="0.25">
      <c r="B83" s="230"/>
      <c r="C83" s="241"/>
      <c r="D83" s="146" t="s">
        <v>103</v>
      </c>
      <c r="E83" s="257" t="s">
        <v>244</v>
      </c>
      <c r="F83" s="258"/>
      <c r="G83" s="107" t="s">
        <v>34</v>
      </c>
      <c r="H83" s="107" t="s">
        <v>34</v>
      </c>
      <c r="I83" s="122" t="s">
        <v>116</v>
      </c>
      <c r="J83" s="109"/>
      <c r="K83" s="108"/>
      <c r="L83" s="112">
        <v>1</v>
      </c>
      <c r="M83" s="109" t="s">
        <v>114</v>
      </c>
      <c r="N83" s="110" t="s">
        <v>115</v>
      </c>
      <c r="O83" s="126">
        <v>7000</v>
      </c>
      <c r="P83" s="108">
        <v>7000</v>
      </c>
      <c r="Q83" s="108">
        <v>7000</v>
      </c>
      <c r="R83" s="178">
        <f t="shared" si="8"/>
        <v>21000</v>
      </c>
      <c r="S83" s="127" t="s">
        <v>113</v>
      </c>
    </row>
    <row r="84" spans="2:19" s="8" customFormat="1" ht="15" customHeight="1" x14ac:dyDescent="0.2">
      <c r="B84" s="230"/>
      <c r="C84" s="241"/>
      <c r="D84" s="143" t="s">
        <v>104</v>
      </c>
      <c r="E84" s="253" t="s">
        <v>244</v>
      </c>
      <c r="F84" s="254"/>
      <c r="G84" s="59" t="s">
        <v>350</v>
      </c>
      <c r="H84" s="215" t="s">
        <v>351</v>
      </c>
      <c r="I84" s="64" t="s">
        <v>357</v>
      </c>
      <c r="J84" s="103"/>
      <c r="K84" s="40"/>
      <c r="L84" s="47">
        <v>1</v>
      </c>
      <c r="M84" s="48" t="s">
        <v>90</v>
      </c>
      <c r="N84" s="192" t="s">
        <v>14</v>
      </c>
      <c r="O84" s="48">
        <v>1850</v>
      </c>
      <c r="P84" s="34">
        <v>1850</v>
      </c>
      <c r="Q84" s="34">
        <v>1850</v>
      </c>
      <c r="R84" s="173">
        <f t="shared" si="8"/>
        <v>5550</v>
      </c>
      <c r="S84" s="75" t="s">
        <v>323</v>
      </c>
    </row>
    <row r="85" spans="2:19" s="8" customFormat="1" ht="15" customHeight="1" x14ac:dyDescent="0.2">
      <c r="B85" s="230"/>
      <c r="C85" s="241"/>
      <c r="D85" s="144" t="s">
        <v>105</v>
      </c>
      <c r="E85" s="245"/>
      <c r="F85" s="246"/>
      <c r="G85" s="59" t="s">
        <v>350</v>
      </c>
      <c r="H85" s="215" t="s">
        <v>351</v>
      </c>
      <c r="I85" s="42" t="s">
        <v>357</v>
      </c>
      <c r="J85" s="58"/>
      <c r="K85" s="34"/>
      <c r="L85" s="49">
        <v>1</v>
      </c>
      <c r="M85" s="48" t="s">
        <v>90</v>
      </c>
      <c r="N85" s="192" t="s">
        <v>14</v>
      </c>
      <c r="O85" s="48">
        <v>1850</v>
      </c>
      <c r="P85" s="34">
        <v>1850</v>
      </c>
      <c r="Q85" s="34">
        <v>1850</v>
      </c>
      <c r="R85" s="174">
        <f t="shared" si="8"/>
        <v>5550</v>
      </c>
      <c r="S85" s="75" t="s">
        <v>324</v>
      </c>
    </row>
    <row r="86" spans="2:19" s="8" customFormat="1" ht="15" customHeight="1" x14ac:dyDescent="0.2">
      <c r="B86" s="230"/>
      <c r="C86" s="241"/>
      <c r="D86" s="144" t="s">
        <v>106</v>
      </c>
      <c r="E86" s="245"/>
      <c r="F86" s="246"/>
      <c r="G86" s="42" t="s">
        <v>34</v>
      </c>
      <c r="H86" s="190" t="s">
        <v>34</v>
      </c>
      <c r="I86" s="42" t="s">
        <v>42</v>
      </c>
      <c r="J86" s="58"/>
      <c r="K86" s="34"/>
      <c r="L86" s="49">
        <v>1</v>
      </c>
      <c r="M86" s="48" t="s">
        <v>15</v>
      </c>
      <c r="N86" s="56" t="s">
        <v>14</v>
      </c>
      <c r="O86" s="58"/>
      <c r="P86" s="34"/>
      <c r="Q86" s="34">
        <v>500</v>
      </c>
      <c r="R86" s="174">
        <f t="shared" ref="R86:R139" si="10">SUM(O86:Q86)</f>
        <v>500</v>
      </c>
      <c r="S86" s="75" t="s">
        <v>32</v>
      </c>
    </row>
    <row r="87" spans="2:19" s="8" customFormat="1" ht="15" customHeight="1" thickBot="1" x14ac:dyDescent="0.25">
      <c r="B87" s="230"/>
      <c r="C87" s="241"/>
      <c r="D87" s="145" t="s">
        <v>270</v>
      </c>
      <c r="E87" s="247"/>
      <c r="F87" s="248"/>
      <c r="G87" s="60" t="s">
        <v>34</v>
      </c>
      <c r="H87" s="197" t="s">
        <v>34</v>
      </c>
      <c r="I87" s="65" t="s">
        <v>42</v>
      </c>
      <c r="J87" s="99"/>
      <c r="K87" s="53"/>
      <c r="L87" s="54">
        <v>1</v>
      </c>
      <c r="M87" s="48" t="s">
        <v>15</v>
      </c>
      <c r="N87" s="56" t="s">
        <v>14</v>
      </c>
      <c r="O87" s="99">
        <v>500</v>
      </c>
      <c r="P87" s="53"/>
      <c r="Q87" s="53"/>
      <c r="R87" s="179">
        <f t="shared" si="10"/>
        <v>500</v>
      </c>
      <c r="S87" s="83" t="s">
        <v>32</v>
      </c>
    </row>
    <row r="88" spans="2:19" s="8" customFormat="1" ht="15" customHeight="1" thickBot="1" x14ac:dyDescent="0.25">
      <c r="B88" s="230"/>
      <c r="C88" s="241"/>
      <c r="D88" s="146" t="s">
        <v>271</v>
      </c>
      <c r="E88" s="259" t="s">
        <v>117</v>
      </c>
      <c r="F88" s="260"/>
      <c r="G88" s="224" t="s">
        <v>215</v>
      </c>
      <c r="H88" s="225"/>
      <c r="I88" s="213" t="s">
        <v>112</v>
      </c>
      <c r="J88" s="109"/>
      <c r="K88" s="108"/>
      <c r="L88" s="112">
        <v>1</v>
      </c>
      <c r="M88" s="109" t="s">
        <v>15</v>
      </c>
      <c r="N88" s="110" t="s">
        <v>14</v>
      </c>
      <c r="O88" s="126"/>
      <c r="P88" s="108">
        <v>300</v>
      </c>
      <c r="Q88" s="108"/>
      <c r="R88" s="178">
        <f t="shared" si="10"/>
        <v>300</v>
      </c>
      <c r="S88" s="127" t="s">
        <v>32</v>
      </c>
    </row>
    <row r="89" spans="2:19" s="8" customFormat="1" ht="15" customHeight="1" thickBot="1" x14ac:dyDescent="0.25">
      <c r="B89" s="230"/>
      <c r="C89" s="241"/>
      <c r="D89" s="146" t="s">
        <v>272</v>
      </c>
      <c r="E89" s="259" t="s">
        <v>118</v>
      </c>
      <c r="F89" s="260"/>
      <c r="G89" s="128" t="s">
        <v>34</v>
      </c>
      <c r="H89" s="64" t="s">
        <v>34</v>
      </c>
      <c r="I89" s="107" t="s">
        <v>124</v>
      </c>
      <c r="J89" s="109"/>
      <c r="K89" s="108"/>
      <c r="L89" s="112">
        <v>1</v>
      </c>
      <c r="M89" s="109" t="s">
        <v>121</v>
      </c>
      <c r="N89" s="110" t="s">
        <v>115</v>
      </c>
      <c r="O89" s="126">
        <v>9000</v>
      </c>
      <c r="P89" s="108">
        <v>9000</v>
      </c>
      <c r="Q89" s="108">
        <v>9000</v>
      </c>
      <c r="R89" s="178">
        <f t="shared" si="10"/>
        <v>27000</v>
      </c>
      <c r="S89" s="127" t="s">
        <v>119</v>
      </c>
    </row>
    <row r="90" spans="2:19" s="8" customFormat="1" ht="15" customHeight="1" thickBot="1" x14ac:dyDescent="0.25">
      <c r="B90" s="230"/>
      <c r="C90" s="241"/>
      <c r="D90" s="146" t="s">
        <v>273</v>
      </c>
      <c r="E90" s="259" t="s">
        <v>118</v>
      </c>
      <c r="F90" s="260"/>
      <c r="G90" s="128" t="s">
        <v>34</v>
      </c>
      <c r="H90" s="122" t="s">
        <v>34</v>
      </c>
      <c r="I90" s="107" t="s">
        <v>124</v>
      </c>
      <c r="J90" s="109"/>
      <c r="K90" s="108"/>
      <c r="L90" s="112">
        <v>1</v>
      </c>
      <c r="M90" s="109" t="s">
        <v>121</v>
      </c>
      <c r="N90" s="110" t="s">
        <v>115</v>
      </c>
      <c r="O90" s="126">
        <v>9000</v>
      </c>
      <c r="P90" s="108">
        <v>9000</v>
      </c>
      <c r="Q90" s="108">
        <v>9000</v>
      </c>
      <c r="R90" s="178">
        <f t="shared" si="10"/>
        <v>27000</v>
      </c>
      <c r="S90" s="127" t="s">
        <v>120</v>
      </c>
    </row>
    <row r="91" spans="2:19" s="8" customFormat="1" ht="15" customHeight="1" thickBot="1" x14ac:dyDescent="0.25">
      <c r="B91" s="230"/>
      <c r="C91" s="241"/>
      <c r="D91" s="146" t="s">
        <v>274</v>
      </c>
      <c r="E91" s="289" t="s">
        <v>244</v>
      </c>
      <c r="F91" s="270"/>
      <c r="G91" s="100" t="s">
        <v>34</v>
      </c>
      <c r="H91" s="64" t="s">
        <v>34</v>
      </c>
      <c r="I91" s="120" t="s">
        <v>111</v>
      </c>
      <c r="J91" s="46"/>
      <c r="K91" s="40"/>
      <c r="L91" s="47">
        <v>1</v>
      </c>
      <c r="M91" s="46" t="s">
        <v>90</v>
      </c>
      <c r="N91" s="55" t="s">
        <v>115</v>
      </c>
      <c r="O91" s="103">
        <v>2500</v>
      </c>
      <c r="P91" s="40">
        <v>2500</v>
      </c>
      <c r="Q91" s="40">
        <v>2500</v>
      </c>
      <c r="R91" s="173">
        <f t="shared" si="10"/>
        <v>7500</v>
      </c>
      <c r="S91" s="66" t="s">
        <v>363</v>
      </c>
    </row>
    <row r="92" spans="2:19" s="8" customFormat="1" ht="15" customHeight="1" thickBot="1" x14ac:dyDescent="0.25">
      <c r="B92" s="230"/>
      <c r="C92" s="241"/>
      <c r="D92" s="143" t="s">
        <v>275</v>
      </c>
      <c r="E92" s="289" t="s">
        <v>118</v>
      </c>
      <c r="F92" s="270"/>
      <c r="G92" s="100" t="s">
        <v>34</v>
      </c>
      <c r="H92" s="64" t="s">
        <v>34</v>
      </c>
      <c r="I92" s="120" t="s">
        <v>133</v>
      </c>
      <c r="J92" s="46"/>
      <c r="K92" s="40"/>
      <c r="L92" s="47">
        <v>1</v>
      </c>
      <c r="M92" s="46" t="s">
        <v>121</v>
      </c>
      <c r="N92" s="55" t="s">
        <v>115</v>
      </c>
      <c r="O92" s="103">
        <v>7300</v>
      </c>
      <c r="P92" s="40">
        <v>7300</v>
      </c>
      <c r="Q92" s="40">
        <v>7300</v>
      </c>
      <c r="R92" s="173">
        <f t="shared" si="10"/>
        <v>21900</v>
      </c>
      <c r="S92" s="66" t="s">
        <v>365</v>
      </c>
    </row>
    <row r="93" spans="2:19" s="8" customFormat="1" ht="15" customHeight="1" thickBot="1" x14ac:dyDescent="0.25">
      <c r="B93" s="230"/>
      <c r="C93" s="241"/>
      <c r="D93" s="145" t="s">
        <v>276</v>
      </c>
      <c r="E93" s="296"/>
      <c r="F93" s="297"/>
      <c r="G93" s="102" t="s">
        <v>34</v>
      </c>
      <c r="H93" s="60" t="s">
        <v>34</v>
      </c>
      <c r="I93" s="121" t="s">
        <v>111</v>
      </c>
      <c r="J93" s="50"/>
      <c r="K93" s="41"/>
      <c r="L93" s="51">
        <v>1</v>
      </c>
      <c r="M93" s="50" t="s">
        <v>90</v>
      </c>
      <c r="N93" s="57" t="s">
        <v>115</v>
      </c>
      <c r="O93" s="78">
        <v>1000</v>
      </c>
      <c r="P93" s="41">
        <v>1000</v>
      </c>
      <c r="Q93" s="41">
        <v>1000</v>
      </c>
      <c r="R93" s="175">
        <f t="shared" si="10"/>
        <v>3000</v>
      </c>
      <c r="S93" s="66" t="s">
        <v>364</v>
      </c>
    </row>
    <row r="94" spans="2:19" s="8" customFormat="1" ht="15" customHeight="1" x14ac:dyDescent="0.2">
      <c r="B94" s="230"/>
      <c r="C94" s="241"/>
      <c r="D94" s="143" t="s">
        <v>277</v>
      </c>
      <c r="E94" s="289" t="s">
        <v>244</v>
      </c>
      <c r="F94" s="270"/>
      <c r="G94" s="100" t="s">
        <v>34</v>
      </c>
      <c r="H94" s="64" t="s">
        <v>34</v>
      </c>
      <c r="I94" s="120" t="s">
        <v>42</v>
      </c>
      <c r="J94" s="46"/>
      <c r="K94" s="40"/>
      <c r="L94" s="47">
        <v>1</v>
      </c>
      <c r="M94" s="46" t="s">
        <v>15</v>
      </c>
      <c r="N94" s="55" t="s">
        <v>14</v>
      </c>
      <c r="O94" s="103">
        <v>2000</v>
      </c>
      <c r="P94" s="40"/>
      <c r="Q94" s="40"/>
      <c r="R94" s="173">
        <f t="shared" si="10"/>
        <v>2000</v>
      </c>
      <c r="S94" s="66" t="s">
        <v>122</v>
      </c>
    </row>
    <row r="95" spans="2:19" s="8" customFormat="1" ht="15" customHeight="1" x14ac:dyDescent="0.2">
      <c r="B95" s="230"/>
      <c r="C95" s="241"/>
      <c r="D95" s="144" t="s">
        <v>125</v>
      </c>
      <c r="E95" s="290"/>
      <c r="F95" s="271"/>
      <c r="G95" s="101" t="s">
        <v>34</v>
      </c>
      <c r="H95" s="42" t="s">
        <v>34</v>
      </c>
      <c r="I95" s="116" t="s">
        <v>42</v>
      </c>
      <c r="J95" s="48"/>
      <c r="K95" s="34"/>
      <c r="L95" s="49">
        <v>1</v>
      </c>
      <c r="M95" s="48" t="s">
        <v>15</v>
      </c>
      <c r="N95" s="56" t="s">
        <v>14</v>
      </c>
      <c r="O95" s="58"/>
      <c r="P95" s="34">
        <v>2000</v>
      </c>
      <c r="Q95" s="34"/>
      <c r="R95" s="174">
        <f t="shared" si="10"/>
        <v>2000</v>
      </c>
      <c r="S95" s="75" t="s">
        <v>123</v>
      </c>
    </row>
    <row r="96" spans="2:19" s="8" customFormat="1" ht="15" customHeight="1" thickBot="1" x14ac:dyDescent="0.25">
      <c r="B96" s="230"/>
      <c r="C96" s="241"/>
      <c r="D96" s="145" t="s">
        <v>126</v>
      </c>
      <c r="E96" s="296"/>
      <c r="F96" s="297"/>
      <c r="G96" s="102" t="s">
        <v>34</v>
      </c>
      <c r="H96" s="60" t="s">
        <v>34</v>
      </c>
      <c r="I96" s="130" t="s">
        <v>111</v>
      </c>
      <c r="J96" s="50"/>
      <c r="K96" s="41"/>
      <c r="L96" s="51">
        <v>1</v>
      </c>
      <c r="M96" s="50" t="s">
        <v>90</v>
      </c>
      <c r="N96" s="57" t="s">
        <v>115</v>
      </c>
      <c r="O96" s="78">
        <v>900</v>
      </c>
      <c r="P96" s="41">
        <v>900</v>
      </c>
      <c r="Q96" s="41">
        <v>900</v>
      </c>
      <c r="R96" s="175">
        <f t="shared" si="10"/>
        <v>2700</v>
      </c>
      <c r="S96" s="76" t="s">
        <v>128</v>
      </c>
    </row>
    <row r="97" spans="2:19" s="8" customFormat="1" ht="15" customHeight="1" x14ac:dyDescent="0.2">
      <c r="B97" s="230"/>
      <c r="C97" s="241"/>
      <c r="D97" s="143" t="s">
        <v>127</v>
      </c>
      <c r="E97" s="289" t="s">
        <v>244</v>
      </c>
      <c r="F97" s="270"/>
      <c r="G97" s="100" t="s">
        <v>34</v>
      </c>
      <c r="H97" s="196" t="s">
        <v>34</v>
      </c>
      <c r="I97" s="64" t="s">
        <v>91</v>
      </c>
      <c r="J97" s="103"/>
      <c r="K97" s="40"/>
      <c r="L97" s="47">
        <v>1</v>
      </c>
      <c r="M97" s="46" t="s">
        <v>84</v>
      </c>
      <c r="N97" s="55" t="s">
        <v>115</v>
      </c>
      <c r="O97" s="103">
        <v>3300</v>
      </c>
      <c r="P97" s="40">
        <v>3300</v>
      </c>
      <c r="Q97" s="40">
        <v>3300</v>
      </c>
      <c r="R97" s="173">
        <f t="shared" si="10"/>
        <v>9900</v>
      </c>
      <c r="S97" s="66" t="s">
        <v>129</v>
      </c>
    </row>
    <row r="98" spans="2:19" s="8" customFormat="1" ht="15" customHeight="1" x14ac:dyDescent="0.2">
      <c r="B98" s="230"/>
      <c r="C98" s="241"/>
      <c r="D98" s="144" t="s">
        <v>130</v>
      </c>
      <c r="E98" s="290"/>
      <c r="F98" s="271"/>
      <c r="G98" s="101" t="s">
        <v>34</v>
      </c>
      <c r="H98" s="190" t="s">
        <v>34</v>
      </c>
      <c r="I98" s="42" t="s">
        <v>91</v>
      </c>
      <c r="J98" s="58"/>
      <c r="K98" s="34"/>
      <c r="L98" s="49">
        <v>1</v>
      </c>
      <c r="M98" s="48" t="s">
        <v>84</v>
      </c>
      <c r="N98" s="56" t="s">
        <v>115</v>
      </c>
      <c r="O98" s="58">
        <v>3300</v>
      </c>
      <c r="P98" s="34">
        <v>3300</v>
      </c>
      <c r="Q98" s="34">
        <v>3300</v>
      </c>
      <c r="R98" s="174">
        <f t="shared" ref="R98:R109" si="11">SUM(O98:Q98)</f>
        <v>9900</v>
      </c>
      <c r="S98" s="75" t="s">
        <v>361</v>
      </c>
    </row>
    <row r="99" spans="2:19" s="8" customFormat="1" ht="15" customHeight="1" thickBot="1" x14ac:dyDescent="0.25">
      <c r="B99" s="230"/>
      <c r="C99" s="241"/>
      <c r="D99" s="145" t="s">
        <v>131</v>
      </c>
      <c r="E99" s="290"/>
      <c r="F99" s="271"/>
      <c r="G99" s="129" t="s">
        <v>34</v>
      </c>
      <c r="H99" s="197" t="s">
        <v>34</v>
      </c>
      <c r="I99" s="65" t="s">
        <v>42</v>
      </c>
      <c r="J99" s="99"/>
      <c r="K99" s="53"/>
      <c r="L99" s="54">
        <v>1</v>
      </c>
      <c r="M99" s="52" t="s">
        <v>15</v>
      </c>
      <c r="N99" s="71" t="s">
        <v>14</v>
      </c>
      <c r="O99" s="99">
        <v>750</v>
      </c>
      <c r="P99" s="53"/>
      <c r="Q99" s="53"/>
      <c r="R99" s="179">
        <f t="shared" ref="R99:R101" si="12">SUM(O99:Q99)</f>
        <v>750</v>
      </c>
      <c r="S99" s="83" t="s">
        <v>32</v>
      </c>
    </row>
    <row r="100" spans="2:19" s="8" customFormat="1" ht="15" customHeight="1" x14ac:dyDescent="0.2">
      <c r="B100" s="230"/>
      <c r="C100" s="241"/>
      <c r="D100" s="143" t="s">
        <v>132</v>
      </c>
      <c r="E100" s="289" t="s">
        <v>244</v>
      </c>
      <c r="F100" s="270"/>
      <c r="G100" s="64" t="s">
        <v>34</v>
      </c>
      <c r="H100" s="64" t="s">
        <v>34</v>
      </c>
      <c r="I100" s="122" t="s">
        <v>42</v>
      </c>
      <c r="J100" s="46"/>
      <c r="K100" s="40"/>
      <c r="L100" s="104">
        <v>1</v>
      </c>
      <c r="M100" s="105" t="s">
        <v>15</v>
      </c>
      <c r="N100" s="123" t="s">
        <v>14</v>
      </c>
      <c r="O100" s="46">
        <v>500</v>
      </c>
      <c r="P100" s="40"/>
      <c r="Q100" s="40"/>
      <c r="R100" s="170">
        <f t="shared" si="12"/>
        <v>500</v>
      </c>
      <c r="S100" s="81" t="s">
        <v>232</v>
      </c>
    </row>
    <row r="101" spans="2:19" s="8" customFormat="1" ht="15" customHeight="1" x14ac:dyDescent="0.2">
      <c r="B101" s="230"/>
      <c r="C101" s="241"/>
      <c r="D101" s="144" t="s">
        <v>226</v>
      </c>
      <c r="E101" s="290"/>
      <c r="F101" s="271"/>
      <c r="G101" s="42" t="s">
        <v>34</v>
      </c>
      <c r="H101" s="42" t="s">
        <v>34</v>
      </c>
      <c r="I101" s="60" t="s">
        <v>42</v>
      </c>
      <c r="J101" s="48"/>
      <c r="K101" s="34"/>
      <c r="L101" s="54">
        <v>1</v>
      </c>
      <c r="M101" s="52" t="s">
        <v>15</v>
      </c>
      <c r="N101" s="124" t="s">
        <v>14</v>
      </c>
      <c r="O101" s="48"/>
      <c r="P101" s="34">
        <v>500</v>
      </c>
      <c r="Q101" s="34"/>
      <c r="R101" s="171">
        <f t="shared" si="12"/>
        <v>500</v>
      </c>
      <c r="S101" s="82" t="s">
        <v>233</v>
      </c>
    </row>
    <row r="102" spans="2:19" s="8" customFormat="1" ht="15" customHeight="1" x14ac:dyDescent="0.2">
      <c r="B102" s="230"/>
      <c r="C102" s="241"/>
      <c r="D102" s="144" t="s">
        <v>227</v>
      </c>
      <c r="E102" s="290"/>
      <c r="F102" s="271"/>
      <c r="G102" s="42" t="s">
        <v>34</v>
      </c>
      <c r="H102" s="42" t="s">
        <v>34</v>
      </c>
      <c r="I102" s="60" t="s">
        <v>42</v>
      </c>
      <c r="J102" s="48"/>
      <c r="K102" s="34"/>
      <c r="L102" s="54">
        <v>1</v>
      </c>
      <c r="M102" s="52" t="s">
        <v>15</v>
      </c>
      <c r="N102" s="124" t="s">
        <v>14</v>
      </c>
      <c r="O102" s="48"/>
      <c r="P102" s="34"/>
      <c r="Q102" s="34">
        <v>500</v>
      </c>
      <c r="R102" s="171">
        <f t="shared" si="11"/>
        <v>500</v>
      </c>
      <c r="S102" s="82" t="s">
        <v>234</v>
      </c>
    </row>
    <row r="103" spans="2:19" s="8" customFormat="1" ht="15" customHeight="1" x14ac:dyDescent="0.2">
      <c r="B103" s="230"/>
      <c r="C103" s="241"/>
      <c r="D103" s="144" t="s">
        <v>228</v>
      </c>
      <c r="E103" s="290"/>
      <c r="F103" s="271"/>
      <c r="G103" s="60" t="s">
        <v>34</v>
      </c>
      <c r="H103" s="60" t="s">
        <v>34</v>
      </c>
      <c r="I103" s="60" t="s">
        <v>42</v>
      </c>
      <c r="J103" s="52"/>
      <c r="K103" s="53"/>
      <c r="L103" s="54">
        <v>1</v>
      </c>
      <c r="M103" s="52" t="s">
        <v>15</v>
      </c>
      <c r="N103" s="124" t="s">
        <v>14</v>
      </c>
      <c r="O103" s="48">
        <v>500</v>
      </c>
      <c r="P103" s="34"/>
      <c r="Q103" s="34"/>
      <c r="R103" s="171">
        <f t="shared" si="11"/>
        <v>500</v>
      </c>
      <c r="S103" s="82" t="s">
        <v>235</v>
      </c>
    </row>
    <row r="104" spans="2:19" s="8" customFormat="1" ht="15" customHeight="1" x14ac:dyDescent="0.2">
      <c r="B104" s="230"/>
      <c r="C104" s="241"/>
      <c r="D104" s="144" t="s">
        <v>229</v>
      </c>
      <c r="E104" s="290"/>
      <c r="F104" s="271"/>
      <c r="G104" s="42" t="s">
        <v>34</v>
      </c>
      <c r="H104" s="42" t="s">
        <v>34</v>
      </c>
      <c r="I104" s="60" t="s">
        <v>42</v>
      </c>
      <c r="J104" s="48"/>
      <c r="K104" s="34"/>
      <c r="L104" s="54">
        <v>1</v>
      </c>
      <c r="M104" s="52" t="s">
        <v>15</v>
      </c>
      <c r="N104" s="124" t="s">
        <v>14</v>
      </c>
      <c r="O104" s="48"/>
      <c r="P104" s="34">
        <v>500</v>
      </c>
      <c r="Q104" s="34"/>
      <c r="R104" s="171">
        <f t="shared" si="11"/>
        <v>500</v>
      </c>
      <c r="S104" s="82" t="s">
        <v>236</v>
      </c>
    </row>
    <row r="105" spans="2:19" s="8" customFormat="1" ht="15" customHeight="1" thickBot="1" x14ac:dyDescent="0.25">
      <c r="B105" s="230"/>
      <c r="C105" s="241"/>
      <c r="D105" s="145" t="s">
        <v>230</v>
      </c>
      <c r="E105" s="296"/>
      <c r="F105" s="297"/>
      <c r="G105" s="65" t="s">
        <v>34</v>
      </c>
      <c r="H105" s="65" t="s">
        <v>34</v>
      </c>
      <c r="I105" s="65" t="s">
        <v>42</v>
      </c>
      <c r="J105" s="50"/>
      <c r="K105" s="41"/>
      <c r="L105" s="51">
        <v>1</v>
      </c>
      <c r="M105" s="50" t="s">
        <v>15</v>
      </c>
      <c r="N105" s="125" t="s">
        <v>14</v>
      </c>
      <c r="O105" s="50"/>
      <c r="P105" s="41"/>
      <c r="Q105" s="41">
        <v>500</v>
      </c>
      <c r="R105" s="172">
        <f t="shared" si="11"/>
        <v>500</v>
      </c>
      <c r="S105" s="88" t="s">
        <v>237</v>
      </c>
    </row>
    <row r="106" spans="2:19" s="8" customFormat="1" ht="15" customHeight="1" x14ac:dyDescent="0.2">
      <c r="B106" s="230"/>
      <c r="C106" s="241"/>
      <c r="D106" s="143" t="s">
        <v>231</v>
      </c>
      <c r="E106" s="289" t="s">
        <v>244</v>
      </c>
      <c r="F106" s="270"/>
      <c r="G106" s="261" t="s">
        <v>354</v>
      </c>
      <c r="H106" s="262"/>
      <c r="I106" s="116" t="s">
        <v>88</v>
      </c>
      <c r="J106" s="34">
        <v>1</v>
      </c>
      <c r="K106" s="34"/>
      <c r="L106" s="69"/>
      <c r="M106" s="48" t="s">
        <v>15</v>
      </c>
      <c r="N106" s="56" t="s">
        <v>14</v>
      </c>
      <c r="O106" s="48">
        <v>200</v>
      </c>
      <c r="P106" s="34"/>
      <c r="Q106" s="34"/>
      <c r="R106" s="171">
        <f t="shared" si="11"/>
        <v>200</v>
      </c>
      <c r="S106" s="82" t="s">
        <v>352</v>
      </c>
    </row>
    <row r="107" spans="2:19" s="8" customFormat="1" ht="15" customHeight="1" x14ac:dyDescent="0.2">
      <c r="B107" s="230"/>
      <c r="C107" s="241"/>
      <c r="D107" s="144" t="s">
        <v>238</v>
      </c>
      <c r="E107" s="290"/>
      <c r="F107" s="271"/>
      <c r="G107" s="261" t="s">
        <v>354</v>
      </c>
      <c r="H107" s="262"/>
      <c r="I107" s="60" t="s">
        <v>42</v>
      </c>
      <c r="J107" s="48">
        <v>1</v>
      </c>
      <c r="K107" s="34"/>
      <c r="L107" s="54"/>
      <c r="M107" s="52" t="s">
        <v>15</v>
      </c>
      <c r="N107" s="124" t="s">
        <v>14</v>
      </c>
      <c r="O107" s="48"/>
      <c r="P107" s="34">
        <v>200</v>
      </c>
      <c r="Q107" s="34"/>
      <c r="R107" s="171">
        <f t="shared" si="11"/>
        <v>200</v>
      </c>
      <c r="S107" s="82" t="s">
        <v>353</v>
      </c>
    </row>
    <row r="108" spans="2:19" s="8" customFormat="1" ht="15" customHeight="1" x14ac:dyDescent="0.2">
      <c r="B108" s="230"/>
      <c r="C108" s="241"/>
      <c r="D108" s="144" t="s">
        <v>245</v>
      </c>
      <c r="E108" s="290"/>
      <c r="F108" s="271"/>
      <c r="G108" s="261" t="s">
        <v>354</v>
      </c>
      <c r="H108" s="262"/>
      <c r="I108" s="60" t="s">
        <v>42</v>
      </c>
      <c r="J108" s="52">
        <v>1</v>
      </c>
      <c r="K108" s="53"/>
      <c r="L108" s="54"/>
      <c r="M108" s="52" t="s">
        <v>15</v>
      </c>
      <c r="N108" s="124" t="s">
        <v>14</v>
      </c>
      <c r="O108" s="48"/>
      <c r="P108" s="34"/>
      <c r="Q108" s="34">
        <v>200</v>
      </c>
      <c r="R108" s="171">
        <f t="shared" si="11"/>
        <v>200</v>
      </c>
      <c r="S108" s="82" t="s">
        <v>355</v>
      </c>
    </row>
    <row r="109" spans="2:19" s="8" customFormat="1" ht="15" customHeight="1" x14ac:dyDescent="0.2">
      <c r="B109" s="230"/>
      <c r="C109" s="241"/>
      <c r="D109" s="144" t="s">
        <v>246</v>
      </c>
      <c r="E109" s="290"/>
      <c r="F109" s="271"/>
      <c r="G109" s="42" t="s">
        <v>34</v>
      </c>
      <c r="H109" s="42" t="s">
        <v>34</v>
      </c>
      <c r="I109" s="60" t="s">
        <v>42</v>
      </c>
      <c r="J109" s="48"/>
      <c r="K109" s="34"/>
      <c r="L109" s="54">
        <v>1</v>
      </c>
      <c r="M109" s="52" t="s">
        <v>15</v>
      </c>
      <c r="N109" s="124" t="s">
        <v>14</v>
      </c>
      <c r="O109" s="48"/>
      <c r="P109" s="34"/>
      <c r="Q109" s="34">
        <v>500</v>
      </c>
      <c r="R109" s="171">
        <f t="shared" si="11"/>
        <v>500</v>
      </c>
      <c r="S109" s="82" t="s">
        <v>359</v>
      </c>
    </row>
    <row r="110" spans="2:19" s="8" customFormat="1" ht="15" customHeight="1" x14ac:dyDescent="0.2">
      <c r="B110" s="230"/>
      <c r="C110" s="241"/>
      <c r="D110" s="144" t="s">
        <v>247</v>
      </c>
      <c r="E110" s="290"/>
      <c r="F110" s="271"/>
      <c r="G110" s="42" t="s">
        <v>34</v>
      </c>
      <c r="H110" s="42" t="s">
        <v>34</v>
      </c>
      <c r="I110" s="60" t="s">
        <v>42</v>
      </c>
      <c r="J110" s="48"/>
      <c r="K110" s="34"/>
      <c r="L110" s="54">
        <v>1</v>
      </c>
      <c r="M110" s="52" t="s">
        <v>15</v>
      </c>
      <c r="N110" s="124" t="s">
        <v>14</v>
      </c>
      <c r="O110" s="48">
        <v>500</v>
      </c>
      <c r="P110" s="34"/>
      <c r="Q110" s="34"/>
      <c r="R110" s="171">
        <f t="shared" si="10"/>
        <v>500</v>
      </c>
      <c r="S110" s="82" t="s">
        <v>360</v>
      </c>
    </row>
    <row r="111" spans="2:19" s="8" customFormat="1" ht="15" customHeight="1" thickBot="1" x14ac:dyDescent="0.25">
      <c r="B111" s="230"/>
      <c r="C111" s="241"/>
      <c r="D111" s="147" t="s">
        <v>248</v>
      </c>
      <c r="E111" s="296"/>
      <c r="F111" s="297"/>
      <c r="G111" s="65" t="s">
        <v>34</v>
      </c>
      <c r="H111" s="65" t="s">
        <v>34</v>
      </c>
      <c r="I111" s="60" t="s">
        <v>42</v>
      </c>
      <c r="J111" s="50"/>
      <c r="K111" s="41"/>
      <c r="L111" s="51">
        <v>1</v>
      </c>
      <c r="M111" s="52" t="s">
        <v>15</v>
      </c>
      <c r="N111" s="124" t="s">
        <v>14</v>
      </c>
      <c r="O111" s="50"/>
      <c r="P111" s="41">
        <v>500</v>
      </c>
      <c r="Q111" s="41"/>
      <c r="R111" s="172">
        <f t="shared" si="10"/>
        <v>500</v>
      </c>
      <c r="S111" s="82" t="s">
        <v>32</v>
      </c>
    </row>
    <row r="112" spans="2:19" s="8" customFormat="1" ht="15" customHeight="1" x14ac:dyDescent="0.2">
      <c r="B112" s="230"/>
      <c r="C112" s="241"/>
      <c r="D112" s="143" t="s">
        <v>249</v>
      </c>
      <c r="E112" s="249" t="s">
        <v>118</v>
      </c>
      <c r="F112" s="254"/>
      <c r="G112" s="64" t="s">
        <v>34</v>
      </c>
      <c r="H112" s="196" t="s">
        <v>34</v>
      </c>
      <c r="I112" s="64" t="s">
        <v>253</v>
      </c>
      <c r="J112" s="103"/>
      <c r="K112" s="40"/>
      <c r="L112" s="68">
        <v>1</v>
      </c>
      <c r="M112" s="46" t="s">
        <v>254</v>
      </c>
      <c r="N112" s="55" t="s">
        <v>14</v>
      </c>
      <c r="O112" s="103">
        <v>5000</v>
      </c>
      <c r="P112" s="40"/>
      <c r="Q112" s="40"/>
      <c r="R112" s="173">
        <f t="shared" si="10"/>
        <v>5000</v>
      </c>
      <c r="S112" s="66" t="s">
        <v>278</v>
      </c>
    </row>
    <row r="113" spans="2:19" s="8" customFormat="1" ht="15" customHeight="1" x14ac:dyDescent="0.2">
      <c r="B113" s="230"/>
      <c r="C113" s="241"/>
      <c r="D113" s="144" t="s">
        <v>250</v>
      </c>
      <c r="E113" s="251"/>
      <c r="F113" s="246"/>
      <c r="G113" s="42" t="s">
        <v>34</v>
      </c>
      <c r="H113" s="190" t="s">
        <v>34</v>
      </c>
      <c r="I113" s="42" t="s">
        <v>253</v>
      </c>
      <c r="J113" s="58"/>
      <c r="K113" s="34"/>
      <c r="L113" s="69">
        <v>1</v>
      </c>
      <c r="M113" s="48" t="s">
        <v>254</v>
      </c>
      <c r="N113" s="56" t="s">
        <v>14</v>
      </c>
      <c r="O113" s="58"/>
      <c r="P113" s="34">
        <v>5000</v>
      </c>
      <c r="Q113" s="34"/>
      <c r="R113" s="174">
        <f t="shared" si="10"/>
        <v>5000</v>
      </c>
      <c r="S113" s="75" t="s">
        <v>279</v>
      </c>
    </row>
    <row r="114" spans="2:19" s="8" customFormat="1" ht="15" customHeight="1" x14ac:dyDescent="0.2">
      <c r="B114" s="230"/>
      <c r="C114" s="241"/>
      <c r="D114" s="144" t="s">
        <v>251</v>
      </c>
      <c r="E114" s="251"/>
      <c r="F114" s="246"/>
      <c r="G114" s="42" t="s">
        <v>34</v>
      </c>
      <c r="H114" s="190" t="s">
        <v>34</v>
      </c>
      <c r="I114" s="42" t="s">
        <v>253</v>
      </c>
      <c r="J114" s="58"/>
      <c r="K114" s="34"/>
      <c r="L114" s="69">
        <v>1</v>
      </c>
      <c r="M114" s="48" t="s">
        <v>254</v>
      </c>
      <c r="N114" s="56" t="s">
        <v>14</v>
      </c>
      <c r="O114" s="58"/>
      <c r="P114" s="34"/>
      <c r="Q114" s="34">
        <v>5000</v>
      </c>
      <c r="R114" s="174">
        <f t="shared" ref="R114:R117" si="13">SUM(O114:Q114)</f>
        <v>5000</v>
      </c>
      <c r="S114" s="75" t="s">
        <v>280</v>
      </c>
    </row>
    <row r="115" spans="2:19" s="8" customFormat="1" ht="15" customHeight="1" thickBot="1" x14ac:dyDescent="0.25">
      <c r="B115" s="230"/>
      <c r="C115" s="241"/>
      <c r="D115" s="147" t="s">
        <v>252</v>
      </c>
      <c r="E115" s="268"/>
      <c r="F115" s="256"/>
      <c r="G115" s="65" t="s">
        <v>34</v>
      </c>
      <c r="H115" s="199" t="s">
        <v>34</v>
      </c>
      <c r="I115" s="65" t="s">
        <v>253</v>
      </c>
      <c r="J115" s="78"/>
      <c r="K115" s="41"/>
      <c r="L115" s="70">
        <v>1</v>
      </c>
      <c r="M115" s="50" t="s">
        <v>254</v>
      </c>
      <c r="N115" s="57" t="s">
        <v>14</v>
      </c>
      <c r="O115" s="78">
        <v>5000</v>
      </c>
      <c r="P115" s="41"/>
      <c r="Q115" s="41"/>
      <c r="R115" s="175">
        <f t="shared" si="13"/>
        <v>5000</v>
      </c>
      <c r="S115" s="83" t="s">
        <v>281</v>
      </c>
    </row>
    <row r="116" spans="2:19" s="8" customFormat="1" ht="15" customHeight="1" x14ac:dyDescent="0.2">
      <c r="B116" s="230"/>
      <c r="C116" s="241"/>
      <c r="D116" s="143" t="s">
        <v>282</v>
      </c>
      <c r="E116" s="249" t="s">
        <v>118</v>
      </c>
      <c r="F116" s="254"/>
      <c r="G116" s="64" t="s">
        <v>34</v>
      </c>
      <c r="H116" s="196" t="s">
        <v>34</v>
      </c>
      <c r="I116" s="64" t="s">
        <v>253</v>
      </c>
      <c r="J116" s="103"/>
      <c r="K116" s="40"/>
      <c r="L116" s="68">
        <v>1</v>
      </c>
      <c r="M116" s="46" t="s">
        <v>254</v>
      </c>
      <c r="N116" s="55" t="s">
        <v>14</v>
      </c>
      <c r="O116" s="103">
        <v>5000</v>
      </c>
      <c r="P116" s="40"/>
      <c r="Q116" s="40"/>
      <c r="R116" s="173">
        <f t="shared" si="13"/>
        <v>5000</v>
      </c>
      <c r="S116" s="66" t="s">
        <v>286</v>
      </c>
    </row>
    <row r="117" spans="2:19" s="8" customFormat="1" ht="15" customHeight="1" x14ac:dyDescent="0.2">
      <c r="B117" s="230"/>
      <c r="C117" s="241"/>
      <c r="D117" s="144" t="s">
        <v>283</v>
      </c>
      <c r="E117" s="251"/>
      <c r="F117" s="246"/>
      <c r="G117" s="42" t="s">
        <v>34</v>
      </c>
      <c r="H117" s="190" t="s">
        <v>34</v>
      </c>
      <c r="I117" s="42" t="s">
        <v>253</v>
      </c>
      <c r="J117" s="58"/>
      <c r="K117" s="34"/>
      <c r="L117" s="69">
        <v>1</v>
      </c>
      <c r="M117" s="48" t="s">
        <v>254</v>
      </c>
      <c r="N117" s="56" t="s">
        <v>14</v>
      </c>
      <c r="O117" s="58"/>
      <c r="P117" s="34">
        <v>5000</v>
      </c>
      <c r="Q117" s="34"/>
      <c r="R117" s="174">
        <f t="shared" si="13"/>
        <v>5000</v>
      </c>
      <c r="S117" s="75" t="s">
        <v>287</v>
      </c>
    </row>
    <row r="118" spans="2:19" s="8" customFormat="1" ht="15" customHeight="1" x14ac:dyDescent="0.2">
      <c r="B118" s="230"/>
      <c r="C118" s="241"/>
      <c r="D118" s="144" t="s">
        <v>284</v>
      </c>
      <c r="E118" s="251"/>
      <c r="F118" s="246"/>
      <c r="G118" s="42" t="s">
        <v>34</v>
      </c>
      <c r="H118" s="190" t="s">
        <v>34</v>
      </c>
      <c r="I118" s="42" t="s">
        <v>253</v>
      </c>
      <c r="J118" s="58"/>
      <c r="K118" s="34"/>
      <c r="L118" s="69">
        <v>1</v>
      </c>
      <c r="M118" s="48" t="s">
        <v>254</v>
      </c>
      <c r="N118" s="56" t="s">
        <v>14</v>
      </c>
      <c r="O118" s="58"/>
      <c r="P118" s="34"/>
      <c r="Q118" s="34">
        <v>5000</v>
      </c>
      <c r="R118" s="174">
        <f t="shared" ref="R118:R119" si="14">SUM(O118:Q118)</f>
        <v>5000</v>
      </c>
      <c r="S118" s="75" t="s">
        <v>288</v>
      </c>
    </row>
    <row r="119" spans="2:19" s="8" customFormat="1" ht="15" customHeight="1" thickBot="1" x14ac:dyDescent="0.25">
      <c r="B119" s="230"/>
      <c r="C119" s="241"/>
      <c r="D119" s="145" t="s">
        <v>285</v>
      </c>
      <c r="E119" s="268"/>
      <c r="F119" s="256"/>
      <c r="G119" s="65" t="s">
        <v>34</v>
      </c>
      <c r="H119" s="199" t="s">
        <v>34</v>
      </c>
      <c r="I119" s="65" t="s">
        <v>253</v>
      </c>
      <c r="J119" s="78"/>
      <c r="K119" s="41"/>
      <c r="L119" s="70">
        <v>1</v>
      </c>
      <c r="M119" s="50" t="s">
        <v>254</v>
      </c>
      <c r="N119" s="57" t="s">
        <v>14</v>
      </c>
      <c r="O119" s="78">
        <v>5000</v>
      </c>
      <c r="P119" s="41"/>
      <c r="Q119" s="41"/>
      <c r="R119" s="175">
        <f t="shared" si="14"/>
        <v>5000</v>
      </c>
      <c r="S119" s="76" t="s">
        <v>289</v>
      </c>
    </row>
    <row r="120" spans="2:19" s="8" customFormat="1" ht="15" customHeight="1" x14ac:dyDescent="0.2">
      <c r="B120" s="230"/>
      <c r="C120" s="241"/>
      <c r="D120" s="200" t="s">
        <v>189</v>
      </c>
      <c r="E120" s="226" t="s">
        <v>296</v>
      </c>
      <c r="F120" s="306" t="s">
        <v>241</v>
      </c>
      <c r="G120" s="307"/>
      <c r="H120" s="314" t="s">
        <v>358</v>
      </c>
      <c r="I120" s="64" t="s">
        <v>42</v>
      </c>
      <c r="J120" s="40"/>
      <c r="K120" s="40"/>
      <c r="L120" s="104">
        <v>1</v>
      </c>
      <c r="M120" s="105" t="s">
        <v>15</v>
      </c>
      <c r="N120" s="106" t="s">
        <v>14</v>
      </c>
      <c r="O120" s="61">
        <v>1000</v>
      </c>
      <c r="P120" s="62"/>
      <c r="Q120" s="62"/>
      <c r="R120" s="176">
        <f t="shared" si="10"/>
        <v>1000</v>
      </c>
      <c r="S120" s="198" t="s">
        <v>199</v>
      </c>
    </row>
    <row r="121" spans="2:19" s="8" customFormat="1" ht="15" customHeight="1" thickBot="1" x14ac:dyDescent="0.25">
      <c r="B121" s="230"/>
      <c r="C121" s="241"/>
      <c r="D121" s="149" t="s">
        <v>190</v>
      </c>
      <c r="E121" s="227"/>
      <c r="F121" s="308"/>
      <c r="G121" s="309"/>
      <c r="H121" s="315"/>
      <c r="I121" s="65" t="s">
        <v>42</v>
      </c>
      <c r="J121" s="41"/>
      <c r="K121" s="41"/>
      <c r="L121" s="51">
        <v>1</v>
      </c>
      <c r="M121" s="50" t="s">
        <v>15</v>
      </c>
      <c r="N121" s="57" t="s">
        <v>14</v>
      </c>
      <c r="O121" s="50"/>
      <c r="P121" s="41">
        <v>1000</v>
      </c>
      <c r="Q121" s="41"/>
      <c r="R121" s="172">
        <f t="shared" si="10"/>
        <v>1000</v>
      </c>
      <c r="S121" s="88" t="s">
        <v>200</v>
      </c>
    </row>
    <row r="122" spans="2:19" s="8" customFormat="1" ht="15" customHeight="1" x14ac:dyDescent="0.2">
      <c r="B122" s="230"/>
      <c r="C122" s="241"/>
      <c r="D122" s="148" t="s">
        <v>191</v>
      </c>
      <c r="E122" s="227"/>
      <c r="F122" s="306" t="s">
        <v>240</v>
      </c>
      <c r="G122" s="307"/>
      <c r="H122" s="315"/>
      <c r="I122" s="64" t="s">
        <v>42</v>
      </c>
      <c r="J122" s="40"/>
      <c r="K122" s="40"/>
      <c r="L122" s="104">
        <v>1</v>
      </c>
      <c r="M122" s="105" t="s">
        <v>15</v>
      </c>
      <c r="N122" s="106" t="s">
        <v>14</v>
      </c>
      <c r="O122" s="46"/>
      <c r="P122" s="40"/>
      <c r="Q122" s="40">
        <v>2500</v>
      </c>
      <c r="R122" s="170">
        <f t="shared" si="10"/>
        <v>2500</v>
      </c>
      <c r="S122" s="81" t="s">
        <v>201</v>
      </c>
    </row>
    <row r="123" spans="2:19" s="8" customFormat="1" ht="15" customHeight="1" thickBot="1" x14ac:dyDescent="0.25">
      <c r="B123" s="230"/>
      <c r="C123" s="241"/>
      <c r="D123" s="149" t="s">
        <v>192</v>
      </c>
      <c r="E123" s="227"/>
      <c r="F123" s="308"/>
      <c r="G123" s="309"/>
      <c r="H123" s="315"/>
      <c r="I123" s="65" t="s">
        <v>42</v>
      </c>
      <c r="J123" s="41"/>
      <c r="K123" s="41"/>
      <c r="L123" s="51">
        <v>1</v>
      </c>
      <c r="M123" s="50" t="s">
        <v>15</v>
      </c>
      <c r="N123" s="57" t="s">
        <v>14</v>
      </c>
      <c r="O123" s="50">
        <v>2500</v>
      </c>
      <c r="P123" s="41"/>
      <c r="Q123" s="41"/>
      <c r="R123" s="172">
        <f t="shared" si="10"/>
        <v>2500</v>
      </c>
      <c r="S123" s="88" t="s">
        <v>202</v>
      </c>
    </row>
    <row r="124" spans="2:19" s="8" customFormat="1" ht="15" customHeight="1" x14ac:dyDescent="0.2">
      <c r="B124" s="230"/>
      <c r="C124" s="241"/>
      <c r="D124" s="148" t="s">
        <v>193</v>
      </c>
      <c r="E124" s="227"/>
      <c r="F124" s="306" t="s">
        <v>239</v>
      </c>
      <c r="G124" s="307"/>
      <c r="H124" s="315"/>
      <c r="I124" s="64" t="s">
        <v>116</v>
      </c>
      <c r="J124" s="40"/>
      <c r="K124" s="40"/>
      <c r="L124" s="40">
        <v>1</v>
      </c>
      <c r="M124" s="46" t="s">
        <v>114</v>
      </c>
      <c r="N124" s="55" t="s">
        <v>115</v>
      </c>
      <c r="O124" s="46">
        <v>5650</v>
      </c>
      <c r="P124" s="40">
        <v>5650</v>
      </c>
      <c r="Q124" s="40">
        <v>5650</v>
      </c>
      <c r="R124" s="170">
        <f t="shared" si="10"/>
        <v>16950</v>
      </c>
      <c r="S124" s="81" t="s">
        <v>203</v>
      </c>
    </row>
    <row r="125" spans="2:19" s="8" customFormat="1" ht="15" customHeight="1" x14ac:dyDescent="0.2">
      <c r="B125" s="230"/>
      <c r="C125" s="241"/>
      <c r="D125" s="150" t="s">
        <v>194</v>
      </c>
      <c r="E125" s="227"/>
      <c r="F125" s="310"/>
      <c r="G125" s="311"/>
      <c r="H125" s="315"/>
      <c r="I125" s="42" t="s">
        <v>116</v>
      </c>
      <c r="J125" s="34"/>
      <c r="K125" s="34"/>
      <c r="L125" s="34">
        <v>1</v>
      </c>
      <c r="M125" s="48" t="s">
        <v>114</v>
      </c>
      <c r="N125" s="56" t="s">
        <v>115</v>
      </c>
      <c r="O125" s="48">
        <v>5650</v>
      </c>
      <c r="P125" s="34">
        <v>5650</v>
      </c>
      <c r="Q125" s="34">
        <v>5650</v>
      </c>
      <c r="R125" s="171">
        <f t="shared" si="10"/>
        <v>16950</v>
      </c>
      <c r="S125" s="82" t="s">
        <v>204</v>
      </c>
    </row>
    <row r="126" spans="2:19" s="8" customFormat="1" ht="15" customHeight="1" thickBot="1" x14ac:dyDescent="0.25">
      <c r="B126" s="230"/>
      <c r="C126" s="241"/>
      <c r="D126" s="149" t="s">
        <v>195</v>
      </c>
      <c r="E126" s="227"/>
      <c r="F126" s="308"/>
      <c r="G126" s="309"/>
      <c r="H126" s="315"/>
      <c r="I126" s="65" t="s">
        <v>116</v>
      </c>
      <c r="J126" s="41"/>
      <c r="K126" s="41"/>
      <c r="L126" s="41">
        <v>1</v>
      </c>
      <c r="M126" s="50" t="s">
        <v>114</v>
      </c>
      <c r="N126" s="57" t="s">
        <v>115</v>
      </c>
      <c r="O126" s="50">
        <v>5650</v>
      </c>
      <c r="P126" s="41">
        <v>5650</v>
      </c>
      <c r="Q126" s="41">
        <v>5650</v>
      </c>
      <c r="R126" s="172">
        <f t="shared" si="10"/>
        <v>16950</v>
      </c>
      <c r="S126" s="88" t="s">
        <v>205</v>
      </c>
    </row>
    <row r="127" spans="2:19" s="8" customFormat="1" ht="15" customHeight="1" x14ac:dyDescent="0.2">
      <c r="B127" s="230"/>
      <c r="C127" s="241"/>
      <c r="D127" s="148" t="s">
        <v>196</v>
      </c>
      <c r="E127" s="227"/>
      <c r="F127" s="306" t="s">
        <v>241</v>
      </c>
      <c r="G127" s="307"/>
      <c r="H127" s="315"/>
      <c r="I127" s="64" t="s">
        <v>42</v>
      </c>
      <c r="J127" s="40"/>
      <c r="K127" s="40"/>
      <c r="L127" s="104">
        <v>1</v>
      </c>
      <c r="M127" s="105" t="s">
        <v>15</v>
      </c>
      <c r="N127" s="106" t="s">
        <v>14</v>
      </c>
      <c r="O127" s="46">
        <v>2000</v>
      </c>
      <c r="P127" s="40"/>
      <c r="Q127" s="40"/>
      <c r="R127" s="170">
        <f t="shared" si="10"/>
        <v>2000</v>
      </c>
      <c r="S127" s="81" t="s">
        <v>206</v>
      </c>
    </row>
    <row r="128" spans="2:19" s="8" customFormat="1" ht="15" customHeight="1" thickBot="1" x14ac:dyDescent="0.25">
      <c r="B128" s="230"/>
      <c r="C128" s="241"/>
      <c r="D128" s="149" t="s">
        <v>197</v>
      </c>
      <c r="E128" s="227"/>
      <c r="F128" s="308"/>
      <c r="G128" s="309"/>
      <c r="H128" s="315"/>
      <c r="I128" s="65" t="s">
        <v>42</v>
      </c>
      <c r="J128" s="41"/>
      <c r="K128" s="41"/>
      <c r="L128" s="51">
        <v>1</v>
      </c>
      <c r="M128" s="50" t="s">
        <v>15</v>
      </c>
      <c r="N128" s="57" t="s">
        <v>14</v>
      </c>
      <c r="O128" s="50"/>
      <c r="P128" s="41">
        <v>2000</v>
      </c>
      <c r="Q128" s="41"/>
      <c r="R128" s="172">
        <f t="shared" si="10"/>
        <v>2000</v>
      </c>
      <c r="S128" s="88" t="s">
        <v>207</v>
      </c>
    </row>
    <row r="129" spans="2:20" s="8" customFormat="1" ht="15" customHeight="1" thickBot="1" x14ac:dyDescent="0.25">
      <c r="B129" s="230"/>
      <c r="C129" s="241"/>
      <c r="D129" s="151" t="s">
        <v>198</v>
      </c>
      <c r="E129" s="227"/>
      <c r="F129" s="312" t="s">
        <v>295</v>
      </c>
      <c r="G129" s="313"/>
      <c r="H129" s="315"/>
      <c r="I129" s="107" t="s">
        <v>42</v>
      </c>
      <c r="J129" s="108"/>
      <c r="K129" s="108"/>
      <c r="L129" s="108">
        <v>1</v>
      </c>
      <c r="M129" s="50" t="s">
        <v>15</v>
      </c>
      <c r="N129" s="57" t="s">
        <v>14</v>
      </c>
      <c r="O129" s="109"/>
      <c r="P129" s="108"/>
      <c r="Q129" s="108">
        <v>1000</v>
      </c>
      <c r="R129" s="181">
        <f t="shared" si="10"/>
        <v>1000</v>
      </c>
      <c r="S129" s="111" t="s">
        <v>268</v>
      </c>
    </row>
    <row r="130" spans="2:20" s="8" customFormat="1" ht="15" customHeight="1" x14ac:dyDescent="0.2">
      <c r="B130" s="230"/>
      <c r="C130" s="241"/>
      <c r="D130" s="148" t="s">
        <v>208</v>
      </c>
      <c r="E130" s="227"/>
      <c r="F130" s="306" t="s">
        <v>241</v>
      </c>
      <c r="G130" s="307"/>
      <c r="H130" s="315"/>
      <c r="I130" s="64" t="s">
        <v>42</v>
      </c>
      <c r="J130" s="40"/>
      <c r="K130" s="40"/>
      <c r="L130" s="40">
        <v>1</v>
      </c>
      <c r="M130" s="105" t="s">
        <v>15</v>
      </c>
      <c r="N130" s="106" t="s">
        <v>14</v>
      </c>
      <c r="O130" s="46"/>
      <c r="P130" s="40">
        <v>3500</v>
      </c>
      <c r="Q130" s="40"/>
      <c r="R130" s="170">
        <f t="shared" si="10"/>
        <v>3500</v>
      </c>
      <c r="S130" s="81" t="s">
        <v>299</v>
      </c>
    </row>
    <row r="131" spans="2:20" s="8" customFormat="1" ht="15" customHeight="1" thickBot="1" x14ac:dyDescent="0.25">
      <c r="B131" s="230"/>
      <c r="C131" s="241"/>
      <c r="D131" s="152" t="s">
        <v>209</v>
      </c>
      <c r="E131" s="227"/>
      <c r="F131" s="308"/>
      <c r="G131" s="309"/>
      <c r="H131" s="316"/>
      <c r="I131" s="60" t="s">
        <v>111</v>
      </c>
      <c r="J131" s="53"/>
      <c r="K131" s="53"/>
      <c r="L131" s="53">
        <v>1</v>
      </c>
      <c r="M131" s="52" t="s">
        <v>90</v>
      </c>
      <c r="N131" s="71" t="s">
        <v>14</v>
      </c>
      <c r="O131" s="52">
        <v>300</v>
      </c>
      <c r="P131" s="53">
        <v>300</v>
      </c>
      <c r="Q131" s="53">
        <v>300</v>
      </c>
      <c r="R131" s="180">
        <f t="shared" si="10"/>
        <v>900</v>
      </c>
      <c r="S131" s="115" t="s">
        <v>32</v>
      </c>
    </row>
    <row r="132" spans="2:20" s="8" customFormat="1" ht="15" customHeight="1" x14ac:dyDescent="0.2">
      <c r="B132" s="230"/>
      <c r="C132" s="241"/>
      <c r="D132" s="153" t="s">
        <v>10</v>
      </c>
      <c r="E132" s="249" t="s">
        <v>87</v>
      </c>
      <c r="F132" s="250"/>
      <c r="G132" s="117" t="s">
        <v>34</v>
      </c>
      <c r="H132" s="188" t="s">
        <v>34</v>
      </c>
      <c r="I132" s="120" t="s">
        <v>88</v>
      </c>
      <c r="J132" s="40">
        <v>1</v>
      </c>
      <c r="K132" s="40"/>
      <c r="L132" s="68"/>
      <c r="M132" s="46" t="s">
        <v>216</v>
      </c>
      <c r="N132" s="55" t="s">
        <v>14</v>
      </c>
      <c r="O132" s="46">
        <v>1000</v>
      </c>
      <c r="P132" s="40"/>
      <c r="Q132" s="40"/>
      <c r="R132" s="170">
        <f t="shared" si="10"/>
        <v>1000</v>
      </c>
      <c r="S132" s="66" t="s">
        <v>210</v>
      </c>
      <c r="T132" s="303" t="s">
        <v>346</v>
      </c>
    </row>
    <row r="133" spans="2:20" s="8" customFormat="1" ht="15" customHeight="1" x14ac:dyDescent="0.2">
      <c r="B133" s="230"/>
      <c r="C133" s="241"/>
      <c r="D133" s="154" t="s">
        <v>11</v>
      </c>
      <c r="E133" s="251"/>
      <c r="F133" s="252"/>
      <c r="G133" s="118" t="s">
        <v>34</v>
      </c>
      <c r="H133" s="189" t="s">
        <v>34</v>
      </c>
      <c r="I133" s="116" t="s">
        <v>88</v>
      </c>
      <c r="J133" s="34">
        <v>1</v>
      </c>
      <c r="K133" s="34"/>
      <c r="L133" s="69"/>
      <c r="M133" s="48" t="s">
        <v>216</v>
      </c>
      <c r="N133" s="56" t="s">
        <v>14</v>
      </c>
      <c r="O133" s="48"/>
      <c r="P133" s="34">
        <v>1000</v>
      </c>
      <c r="Q133" s="34"/>
      <c r="R133" s="171">
        <f t="shared" si="10"/>
        <v>1000</v>
      </c>
      <c r="S133" s="75" t="s">
        <v>211</v>
      </c>
      <c r="T133" s="304"/>
    </row>
    <row r="134" spans="2:20" s="8" customFormat="1" ht="15" customHeight="1" x14ac:dyDescent="0.2">
      <c r="B134" s="230"/>
      <c r="C134" s="241"/>
      <c r="D134" s="154" t="s">
        <v>12</v>
      </c>
      <c r="E134" s="251"/>
      <c r="F134" s="252"/>
      <c r="G134" s="118" t="s">
        <v>34</v>
      </c>
      <c r="H134" s="189" t="s">
        <v>34</v>
      </c>
      <c r="I134" s="116" t="s">
        <v>88</v>
      </c>
      <c r="J134" s="34">
        <v>1</v>
      </c>
      <c r="K134" s="34"/>
      <c r="L134" s="69"/>
      <c r="M134" s="48" t="s">
        <v>216</v>
      </c>
      <c r="N134" s="56" t="s">
        <v>14</v>
      </c>
      <c r="O134" s="48"/>
      <c r="P134" s="34"/>
      <c r="Q134" s="34">
        <v>500</v>
      </c>
      <c r="R134" s="171">
        <f t="shared" si="10"/>
        <v>500</v>
      </c>
      <c r="S134" s="75" t="s">
        <v>212</v>
      </c>
      <c r="T134" s="304"/>
    </row>
    <row r="135" spans="2:20" s="8" customFormat="1" ht="15" customHeight="1" x14ac:dyDescent="0.2">
      <c r="B135" s="230"/>
      <c r="C135" s="241"/>
      <c r="D135" s="154" t="s">
        <v>36</v>
      </c>
      <c r="E135" s="251"/>
      <c r="F135" s="252"/>
      <c r="G135" s="118" t="s">
        <v>34</v>
      </c>
      <c r="H135" s="189" t="s">
        <v>34</v>
      </c>
      <c r="I135" s="116" t="s">
        <v>88</v>
      </c>
      <c r="J135" s="34">
        <v>1</v>
      </c>
      <c r="K135" s="34"/>
      <c r="L135" s="69"/>
      <c r="M135" s="48" t="s">
        <v>216</v>
      </c>
      <c r="N135" s="56" t="s">
        <v>14</v>
      </c>
      <c r="O135" s="48">
        <v>200</v>
      </c>
      <c r="P135" s="34"/>
      <c r="Q135" s="34"/>
      <c r="R135" s="171">
        <f t="shared" si="10"/>
        <v>200</v>
      </c>
      <c r="S135" s="75" t="s">
        <v>213</v>
      </c>
      <c r="T135" s="304"/>
    </row>
    <row r="136" spans="2:20" s="8" customFormat="1" ht="15" customHeight="1" x14ac:dyDescent="0.2">
      <c r="B136" s="230"/>
      <c r="C136" s="241"/>
      <c r="D136" s="154" t="s">
        <v>37</v>
      </c>
      <c r="E136" s="251"/>
      <c r="F136" s="252"/>
      <c r="G136" s="118" t="s">
        <v>34</v>
      </c>
      <c r="H136" s="189" t="s">
        <v>34</v>
      </c>
      <c r="I136" s="116" t="s">
        <v>88</v>
      </c>
      <c r="J136" s="34">
        <v>1</v>
      </c>
      <c r="K136" s="34"/>
      <c r="L136" s="69"/>
      <c r="M136" s="48" t="s">
        <v>216</v>
      </c>
      <c r="N136" s="56" t="s">
        <v>14</v>
      </c>
      <c r="O136" s="48"/>
      <c r="P136" s="34">
        <v>200</v>
      </c>
      <c r="Q136" s="34"/>
      <c r="R136" s="171">
        <f t="shared" si="10"/>
        <v>200</v>
      </c>
      <c r="S136" s="75" t="s">
        <v>214</v>
      </c>
      <c r="T136" s="304"/>
    </row>
    <row r="137" spans="2:20" s="8" customFormat="1" ht="15" customHeight="1" x14ac:dyDescent="0.2">
      <c r="B137" s="230"/>
      <c r="C137" s="241"/>
      <c r="D137" s="154" t="s">
        <v>38</v>
      </c>
      <c r="E137" s="251"/>
      <c r="F137" s="252"/>
      <c r="G137" s="118" t="s">
        <v>34</v>
      </c>
      <c r="H137" s="189" t="s">
        <v>34</v>
      </c>
      <c r="I137" s="116" t="s">
        <v>88</v>
      </c>
      <c r="J137" s="34">
        <v>1</v>
      </c>
      <c r="K137" s="34"/>
      <c r="L137" s="69"/>
      <c r="M137" s="48" t="s">
        <v>216</v>
      </c>
      <c r="N137" s="56" t="s">
        <v>14</v>
      </c>
      <c r="O137" s="48">
        <v>200</v>
      </c>
      <c r="P137" s="34"/>
      <c r="Q137" s="34"/>
      <c r="R137" s="171">
        <f t="shared" ref="R137" si="15">SUM(O137:Q137)</f>
        <v>200</v>
      </c>
      <c r="S137" s="75" t="s">
        <v>347</v>
      </c>
      <c r="T137" s="304"/>
    </row>
    <row r="138" spans="2:20" s="8" customFormat="1" ht="15" customHeight="1" x14ac:dyDescent="0.2">
      <c r="B138" s="230"/>
      <c r="C138" s="241"/>
      <c r="D138" s="154" t="s">
        <v>39</v>
      </c>
      <c r="E138" s="251"/>
      <c r="F138" s="252"/>
      <c r="G138" s="118" t="s">
        <v>34</v>
      </c>
      <c r="H138" s="189" t="s">
        <v>34</v>
      </c>
      <c r="I138" s="116" t="s">
        <v>88</v>
      </c>
      <c r="J138" s="34">
        <v>1</v>
      </c>
      <c r="K138" s="34"/>
      <c r="L138" s="69"/>
      <c r="M138" s="48" t="s">
        <v>15</v>
      </c>
      <c r="N138" s="56" t="s">
        <v>14</v>
      </c>
      <c r="O138" s="48"/>
      <c r="P138" s="34">
        <v>300</v>
      </c>
      <c r="Q138" s="34"/>
      <c r="R138" s="171">
        <f t="shared" si="10"/>
        <v>300</v>
      </c>
      <c r="S138" s="75" t="s">
        <v>348</v>
      </c>
      <c r="T138" s="304"/>
    </row>
    <row r="139" spans="2:20" s="8" customFormat="1" ht="15" customHeight="1" thickBot="1" x14ac:dyDescent="0.25">
      <c r="B139" s="230"/>
      <c r="C139" s="241"/>
      <c r="D139" s="155" t="s">
        <v>61</v>
      </c>
      <c r="E139" s="268"/>
      <c r="F139" s="269"/>
      <c r="G139" s="119" t="s">
        <v>34</v>
      </c>
      <c r="H139" s="204" t="s">
        <v>34</v>
      </c>
      <c r="I139" s="121" t="s">
        <v>88</v>
      </c>
      <c r="J139" s="41">
        <v>1</v>
      </c>
      <c r="K139" s="41"/>
      <c r="L139" s="70"/>
      <c r="M139" s="50" t="s">
        <v>15</v>
      </c>
      <c r="N139" s="57" t="s">
        <v>14</v>
      </c>
      <c r="O139" s="50"/>
      <c r="P139" s="41"/>
      <c r="Q139" s="41">
        <v>300</v>
      </c>
      <c r="R139" s="172">
        <f t="shared" si="10"/>
        <v>300</v>
      </c>
      <c r="S139" s="76" t="s">
        <v>32</v>
      </c>
      <c r="T139" s="305"/>
    </row>
    <row r="140" spans="2:20" s="8" customFormat="1" ht="15" customHeight="1" x14ac:dyDescent="0.2">
      <c r="B140" s="230"/>
      <c r="C140" s="241"/>
      <c r="D140" s="156" t="s">
        <v>220</v>
      </c>
      <c r="E140" s="243" t="s">
        <v>244</v>
      </c>
      <c r="F140" s="244"/>
      <c r="G140" s="242" t="s">
        <v>34</v>
      </c>
      <c r="H140" s="64" t="s">
        <v>331</v>
      </c>
      <c r="I140" s="203" t="s">
        <v>88</v>
      </c>
      <c r="J140" s="86">
        <v>1</v>
      </c>
      <c r="K140" s="62"/>
      <c r="L140" s="63"/>
      <c r="M140" s="48" t="s">
        <v>15</v>
      </c>
      <c r="N140" s="80" t="s">
        <v>14</v>
      </c>
      <c r="O140" s="61">
        <v>500</v>
      </c>
      <c r="P140" s="62"/>
      <c r="Q140" s="62"/>
      <c r="R140" s="176">
        <f t="shared" si="0"/>
        <v>500</v>
      </c>
      <c r="S140" s="67" t="s">
        <v>333</v>
      </c>
    </row>
    <row r="141" spans="2:20" s="8" customFormat="1" ht="15" customHeight="1" x14ac:dyDescent="0.2">
      <c r="B141" s="230"/>
      <c r="C141" s="241"/>
      <c r="D141" s="156" t="s">
        <v>221</v>
      </c>
      <c r="E141" s="245"/>
      <c r="F141" s="246"/>
      <c r="G141" s="242"/>
      <c r="H141" s="42" t="s">
        <v>332</v>
      </c>
      <c r="I141" s="116" t="s">
        <v>88</v>
      </c>
      <c r="J141" s="58">
        <v>1</v>
      </c>
      <c r="K141" s="34"/>
      <c r="L141" s="49"/>
      <c r="M141" s="48" t="s">
        <v>15</v>
      </c>
      <c r="N141" s="56" t="s">
        <v>14</v>
      </c>
      <c r="O141" s="48"/>
      <c r="P141" s="34">
        <v>500</v>
      </c>
      <c r="Q141" s="34"/>
      <c r="R141" s="171">
        <f t="shared" si="0"/>
        <v>500</v>
      </c>
      <c r="S141" s="67" t="s">
        <v>325</v>
      </c>
    </row>
    <row r="142" spans="2:20" s="8" customFormat="1" ht="15" customHeight="1" x14ac:dyDescent="0.2">
      <c r="B142" s="230"/>
      <c r="C142" s="241"/>
      <c r="D142" s="156" t="s">
        <v>222</v>
      </c>
      <c r="E142" s="245"/>
      <c r="F142" s="246"/>
      <c r="G142" s="242"/>
      <c r="H142" s="317" t="s">
        <v>329</v>
      </c>
      <c r="I142" s="116" t="s">
        <v>88</v>
      </c>
      <c r="J142" s="58">
        <v>1</v>
      </c>
      <c r="K142" s="34"/>
      <c r="L142" s="49"/>
      <c r="M142" s="48" t="s">
        <v>15</v>
      </c>
      <c r="N142" s="56" t="s">
        <v>14</v>
      </c>
      <c r="O142" s="48"/>
      <c r="P142" s="34"/>
      <c r="Q142" s="34">
        <v>500</v>
      </c>
      <c r="R142" s="171">
        <f t="shared" si="0"/>
        <v>500</v>
      </c>
      <c r="S142" s="75" t="s">
        <v>335</v>
      </c>
    </row>
    <row r="143" spans="2:20" s="8" customFormat="1" ht="15" customHeight="1" x14ac:dyDescent="0.2">
      <c r="B143" s="230"/>
      <c r="C143" s="241"/>
      <c r="D143" s="156" t="s">
        <v>223</v>
      </c>
      <c r="E143" s="245"/>
      <c r="F143" s="246"/>
      <c r="G143" s="242"/>
      <c r="H143" s="317"/>
      <c r="I143" s="116" t="s">
        <v>88</v>
      </c>
      <c r="J143" s="58">
        <v>1</v>
      </c>
      <c r="K143" s="34"/>
      <c r="L143" s="49"/>
      <c r="M143" s="48" t="s">
        <v>15</v>
      </c>
      <c r="N143" s="56" t="s">
        <v>14</v>
      </c>
      <c r="O143" s="48">
        <v>500</v>
      </c>
      <c r="P143" s="34"/>
      <c r="Q143" s="34"/>
      <c r="R143" s="171">
        <f t="shared" si="0"/>
        <v>500</v>
      </c>
      <c r="S143" s="75" t="s">
        <v>336</v>
      </c>
    </row>
    <row r="144" spans="2:20" s="8" customFormat="1" ht="15" customHeight="1" x14ac:dyDescent="0.2">
      <c r="B144" s="230"/>
      <c r="C144" s="241"/>
      <c r="D144" s="156" t="s">
        <v>224</v>
      </c>
      <c r="E144" s="245"/>
      <c r="F144" s="246"/>
      <c r="G144" s="242"/>
      <c r="H144" s="317"/>
      <c r="I144" s="116" t="s">
        <v>88</v>
      </c>
      <c r="J144" s="58">
        <v>1</v>
      </c>
      <c r="K144" s="34"/>
      <c r="L144" s="49"/>
      <c r="M144" s="48" t="s">
        <v>15</v>
      </c>
      <c r="N144" s="56" t="s">
        <v>14</v>
      </c>
      <c r="O144" s="48"/>
      <c r="P144" s="34">
        <v>50</v>
      </c>
      <c r="Q144" s="34"/>
      <c r="R144" s="171">
        <f t="shared" si="0"/>
        <v>50</v>
      </c>
      <c r="S144" s="75" t="s">
        <v>337</v>
      </c>
    </row>
    <row r="145" spans="2:19" s="8" customFormat="1" ht="15" customHeight="1" x14ac:dyDescent="0.2">
      <c r="B145" s="230"/>
      <c r="C145" s="241"/>
      <c r="D145" s="156" t="s">
        <v>225</v>
      </c>
      <c r="E145" s="245"/>
      <c r="F145" s="246"/>
      <c r="G145" s="242"/>
      <c r="H145" s="317"/>
      <c r="I145" s="116" t="s">
        <v>88</v>
      </c>
      <c r="J145" s="58">
        <v>1</v>
      </c>
      <c r="K145" s="34"/>
      <c r="L145" s="49"/>
      <c r="M145" s="48" t="s">
        <v>15</v>
      </c>
      <c r="N145" s="56" t="s">
        <v>14</v>
      </c>
      <c r="O145" s="48"/>
      <c r="P145" s="34"/>
      <c r="Q145" s="34">
        <v>500</v>
      </c>
      <c r="R145" s="171">
        <f t="shared" si="0"/>
        <v>500</v>
      </c>
      <c r="S145" s="75" t="s">
        <v>338</v>
      </c>
    </row>
    <row r="146" spans="2:19" s="8" customFormat="1" ht="15" customHeight="1" thickBot="1" x14ac:dyDescent="0.25">
      <c r="B146" s="230"/>
      <c r="C146" s="241"/>
      <c r="D146" s="208" t="s">
        <v>330</v>
      </c>
      <c r="E146" s="247"/>
      <c r="F146" s="248"/>
      <c r="G146" s="242"/>
      <c r="H146" s="318"/>
      <c r="I146" s="130" t="s">
        <v>88</v>
      </c>
      <c r="J146" s="99">
        <v>1</v>
      </c>
      <c r="K146" s="53"/>
      <c r="L146" s="54"/>
      <c r="M146" s="52" t="s">
        <v>15</v>
      </c>
      <c r="N146" s="71" t="s">
        <v>14</v>
      </c>
      <c r="O146" s="52"/>
      <c r="P146" s="53">
        <v>500</v>
      </c>
      <c r="Q146" s="53"/>
      <c r="R146" s="180">
        <f t="shared" si="0"/>
        <v>500</v>
      </c>
      <c r="S146" s="83" t="s">
        <v>334</v>
      </c>
    </row>
    <row r="147" spans="2:19" s="8" customFormat="1" ht="15" customHeight="1" x14ac:dyDescent="0.2">
      <c r="B147" s="230"/>
      <c r="C147" s="241"/>
      <c r="D147" s="209" t="s">
        <v>339</v>
      </c>
      <c r="E147" s="289" t="s">
        <v>87</v>
      </c>
      <c r="F147" s="270"/>
      <c r="G147" s="300" t="s">
        <v>34</v>
      </c>
      <c r="H147" s="272" t="s">
        <v>343</v>
      </c>
      <c r="I147" s="64" t="s">
        <v>88</v>
      </c>
      <c r="J147" s="103">
        <v>1</v>
      </c>
      <c r="K147" s="40"/>
      <c r="L147" s="47"/>
      <c r="M147" s="46" t="s">
        <v>15</v>
      </c>
      <c r="N147" s="55" t="s">
        <v>14</v>
      </c>
      <c r="O147" s="46">
        <v>500</v>
      </c>
      <c r="P147" s="40"/>
      <c r="Q147" s="40"/>
      <c r="R147" s="207">
        <f t="shared" si="0"/>
        <v>500</v>
      </c>
      <c r="S147" s="66" t="s">
        <v>344</v>
      </c>
    </row>
    <row r="148" spans="2:19" s="8" customFormat="1" ht="15" customHeight="1" x14ac:dyDescent="0.2">
      <c r="B148" s="230"/>
      <c r="C148" s="241"/>
      <c r="D148" s="210" t="s">
        <v>340</v>
      </c>
      <c r="E148" s="290"/>
      <c r="F148" s="271"/>
      <c r="G148" s="301"/>
      <c r="H148" s="263"/>
      <c r="I148" s="42" t="s">
        <v>88</v>
      </c>
      <c r="J148" s="58">
        <v>1</v>
      </c>
      <c r="K148" s="62"/>
      <c r="L148" s="63"/>
      <c r="M148" s="48" t="s">
        <v>15</v>
      </c>
      <c r="N148" s="56" t="s">
        <v>14</v>
      </c>
      <c r="O148" s="61"/>
      <c r="P148" s="62">
        <v>500</v>
      </c>
      <c r="Q148" s="62"/>
      <c r="R148" s="179">
        <f t="shared" ref="R148:R150" si="16">SUM(O148:Q148)</f>
        <v>500</v>
      </c>
      <c r="S148" s="75" t="s">
        <v>345</v>
      </c>
    </row>
    <row r="149" spans="2:19" s="8" customFormat="1" ht="15" customHeight="1" x14ac:dyDescent="0.2">
      <c r="B149" s="230"/>
      <c r="C149" s="241"/>
      <c r="D149" s="210" t="s">
        <v>341</v>
      </c>
      <c r="E149" s="290"/>
      <c r="F149" s="271"/>
      <c r="G149" s="301"/>
      <c r="H149" s="263"/>
      <c r="I149" s="42" t="s">
        <v>88</v>
      </c>
      <c r="J149" s="58">
        <v>1</v>
      </c>
      <c r="K149" s="62"/>
      <c r="L149" s="63"/>
      <c r="M149" s="48" t="s">
        <v>15</v>
      </c>
      <c r="N149" s="56" t="s">
        <v>14</v>
      </c>
      <c r="O149" s="61"/>
      <c r="P149" s="62"/>
      <c r="Q149" s="62">
        <v>500</v>
      </c>
      <c r="R149" s="179">
        <f t="shared" si="16"/>
        <v>500</v>
      </c>
      <c r="S149" s="75" t="s">
        <v>32</v>
      </c>
    </row>
    <row r="150" spans="2:19" s="8" customFormat="1" ht="15" customHeight="1" thickBot="1" x14ac:dyDescent="0.25">
      <c r="B150" s="230"/>
      <c r="C150" s="241"/>
      <c r="D150" s="211" t="s">
        <v>342</v>
      </c>
      <c r="E150" s="296"/>
      <c r="F150" s="297"/>
      <c r="G150" s="302"/>
      <c r="H150" s="319"/>
      <c r="I150" s="65" t="s">
        <v>88</v>
      </c>
      <c r="J150" s="78">
        <v>1</v>
      </c>
      <c r="K150" s="194"/>
      <c r="L150" s="205"/>
      <c r="M150" s="50" t="s">
        <v>15</v>
      </c>
      <c r="N150" s="57" t="s">
        <v>14</v>
      </c>
      <c r="O150" s="206">
        <v>500</v>
      </c>
      <c r="P150" s="194"/>
      <c r="Q150" s="194"/>
      <c r="R150" s="175">
        <f t="shared" si="16"/>
        <v>500</v>
      </c>
      <c r="S150" s="76" t="s">
        <v>32</v>
      </c>
    </row>
    <row r="151" spans="2:19" s="8" customFormat="1" ht="15" customHeight="1" x14ac:dyDescent="0.2">
      <c r="B151" s="230"/>
      <c r="C151" s="241"/>
      <c r="D151" s="157" t="s">
        <v>75</v>
      </c>
      <c r="E151" s="226" t="s">
        <v>95</v>
      </c>
      <c r="F151" s="270"/>
      <c r="G151" s="272" t="s">
        <v>219</v>
      </c>
      <c r="H151" s="263" t="s">
        <v>34</v>
      </c>
      <c r="I151" s="64" t="s">
        <v>88</v>
      </c>
      <c r="J151" s="46">
        <v>1</v>
      </c>
      <c r="K151" s="40"/>
      <c r="L151" s="47"/>
      <c r="M151" s="46" t="s">
        <v>89</v>
      </c>
      <c r="N151" s="55" t="s">
        <v>14</v>
      </c>
      <c r="O151" s="46"/>
      <c r="P151" s="40"/>
      <c r="Q151" s="40">
        <v>100</v>
      </c>
      <c r="R151" s="170">
        <f t="shared" ref="R151:R158" si="17">SUM(O151:Q151)</f>
        <v>100</v>
      </c>
      <c r="S151" s="198" t="s">
        <v>217</v>
      </c>
    </row>
    <row r="152" spans="2:19" s="8" customFormat="1" ht="15" customHeight="1" x14ac:dyDescent="0.2">
      <c r="B152" s="230"/>
      <c r="C152" s="241"/>
      <c r="D152" s="158" t="s">
        <v>76</v>
      </c>
      <c r="E152" s="227"/>
      <c r="F152" s="271"/>
      <c r="G152" s="263"/>
      <c r="H152" s="263"/>
      <c r="I152" s="42" t="s">
        <v>88</v>
      </c>
      <c r="J152" s="48">
        <v>1</v>
      </c>
      <c r="K152" s="34"/>
      <c r="L152" s="49"/>
      <c r="M152" s="48" t="s">
        <v>89</v>
      </c>
      <c r="N152" s="56" t="s">
        <v>14</v>
      </c>
      <c r="O152" s="48">
        <v>100</v>
      </c>
      <c r="P152" s="34"/>
      <c r="Q152" s="34"/>
      <c r="R152" s="171">
        <f t="shared" si="17"/>
        <v>100</v>
      </c>
      <c r="S152" s="82" t="s">
        <v>328</v>
      </c>
    </row>
    <row r="153" spans="2:19" s="8" customFormat="1" ht="15" customHeight="1" x14ac:dyDescent="0.2">
      <c r="B153" s="230"/>
      <c r="C153" s="241"/>
      <c r="D153" s="158" t="s">
        <v>77</v>
      </c>
      <c r="E153" s="227"/>
      <c r="F153" s="271"/>
      <c r="G153" s="263"/>
      <c r="H153" s="263"/>
      <c r="I153" s="42" t="s">
        <v>88</v>
      </c>
      <c r="J153" s="48">
        <v>1</v>
      </c>
      <c r="K153" s="34"/>
      <c r="L153" s="49"/>
      <c r="M153" s="48" t="s">
        <v>89</v>
      </c>
      <c r="N153" s="56" t="s">
        <v>14</v>
      </c>
      <c r="O153" s="48"/>
      <c r="P153" s="34">
        <v>100</v>
      </c>
      <c r="Q153" s="34"/>
      <c r="R153" s="171">
        <f t="shared" si="17"/>
        <v>100</v>
      </c>
      <c r="S153" s="82" t="s">
        <v>327</v>
      </c>
    </row>
    <row r="154" spans="2:19" s="8" customFormat="1" ht="15" customHeight="1" x14ac:dyDescent="0.2">
      <c r="B154" s="230"/>
      <c r="C154" s="241"/>
      <c r="D154" s="158" t="s">
        <v>78</v>
      </c>
      <c r="E154" s="227"/>
      <c r="F154" s="271"/>
      <c r="G154" s="263"/>
      <c r="H154" s="263"/>
      <c r="I154" s="42" t="s">
        <v>88</v>
      </c>
      <c r="J154" s="48">
        <v>1</v>
      </c>
      <c r="K154" s="34"/>
      <c r="L154" s="49"/>
      <c r="M154" s="48" t="s">
        <v>89</v>
      </c>
      <c r="N154" s="56" t="s">
        <v>14</v>
      </c>
      <c r="O154" s="48"/>
      <c r="P154" s="34"/>
      <c r="Q154" s="34">
        <v>100</v>
      </c>
      <c r="R154" s="171">
        <f t="shared" si="17"/>
        <v>100</v>
      </c>
      <c r="S154" s="82" t="s">
        <v>218</v>
      </c>
    </row>
    <row r="155" spans="2:19" s="8" customFormat="1" ht="15" customHeight="1" x14ac:dyDescent="0.2">
      <c r="B155" s="230"/>
      <c r="C155" s="241"/>
      <c r="D155" s="158" t="s">
        <v>79</v>
      </c>
      <c r="E155" s="227"/>
      <c r="F155" s="271"/>
      <c r="G155" s="263"/>
      <c r="H155" s="263"/>
      <c r="I155" s="42" t="s">
        <v>88</v>
      </c>
      <c r="J155" s="48">
        <v>1</v>
      </c>
      <c r="K155" s="34"/>
      <c r="L155" s="49"/>
      <c r="M155" s="48" t="s">
        <v>89</v>
      </c>
      <c r="N155" s="56" t="s">
        <v>14</v>
      </c>
      <c r="O155" s="48">
        <v>100</v>
      </c>
      <c r="P155" s="34"/>
      <c r="Q155" s="34"/>
      <c r="R155" s="171">
        <f t="shared" si="17"/>
        <v>100</v>
      </c>
      <c r="S155" s="82" t="s">
        <v>218</v>
      </c>
    </row>
    <row r="156" spans="2:19" s="8" customFormat="1" ht="15" customHeight="1" x14ac:dyDescent="0.2">
      <c r="B156" s="230"/>
      <c r="C156" s="241"/>
      <c r="D156" s="158" t="s">
        <v>80</v>
      </c>
      <c r="E156" s="227"/>
      <c r="F156" s="271"/>
      <c r="G156" s="263"/>
      <c r="H156" s="263"/>
      <c r="I156" s="42" t="s">
        <v>88</v>
      </c>
      <c r="J156" s="48">
        <v>1</v>
      </c>
      <c r="K156" s="34"/>
      <c r="L156" s="49"/>
      <c r="M156" s="48" t="s">
        <v>89</v>
      </c>
      <c r="N156" s="56" t="s">
        <v>14</v>
      </c>
      <c r="O156" s="48"/>
      <c r="P156" s="34">
        <v>100</v>
      </c>
      <c r="Q156" s="34"/>
      <c r="R156" s="171">
        <f t="shared" si="17"/>
        <v>100</v>
      </c>
      <c r="S156" s="82" t="s">
        <v>218</v>
      </c>
    </row>
    <row r="157" spans="2:19" s="8" customFormat="1" ht="15" customHeight="1" x14ac:dyDescent="0.2">
      <c r="B157" s="230"/>
      <c r="C157" s="241"/>
      <c r="D157" s="158" t="s">
        <v>81</v>
      </c>
      <c r="E157" s="227"/>
      <c r="F157" s="271"/>
      <c r="G157" s="263"/>
      <c r="H157" s="263"/>
      <c r="I157" s="42" t="s">
        <v>88</v>
      </c>
      <c r="J157" s="48">
        <v>1</v>
      </c>
      <c r="K157" s="34"/>
      <c r="L157" s="49"/>
      <c r="M157" s="48" t="s">
        <v>89</v>
      </c>
      <c r="N157" s="56" t="s">
        <v>14</v>
      </c>
      <c r="O157" s="48"/>
      <c r="P157" s="34"/>
      <c r="Q157" s="34">
        <v>100</v>
      </c>
      <c r="R157" s="171">
        <f t="shared" si="17"/>
        <v>100</v>
      </c>
      <c r="S157" s="82" t="s">
        <v>218</v>
      </c>
    </row>
    <row r="158" spans="2:19" s="8" customFormat="1" ht="15" customHeight="1" thickBot="1" x14ac:dyDescent="0.25">
      <c r="B158" s="230"/>
      <c r="C158" s="241"/>
      <c r="D158" s="159" t="s">
        <v>82</v>
      </c>
      <c r="E158" s="227"/>
      <c r="F158" s="271"/>
      <c r="G158" s="263"/>
      <c r="H158" s="263"/>
      <c r="I158" s="42" t="s">
        <v>88</v>
      </c>
      <c r="J158" s="48">
        <v>1</v>
      </c>
      <c r="K158" s="34"/>
      <c r="L158" s="49"/>
      <c r="M158" s="48" t="s">
        <v>89</v>
      </c>
      <c r="N158" s="56" t="s">
        <v>14</v>
      </c>
      <c r="O158" s="48">
        <v>100</v>
      </c>
      <c r="P158" s="34"/>
      <c r="Q158" s="34"/>
      <c r="R158" s="171">
        <f t="shared" si="17"/>
        <v>100</v>
      </c>
      <c r="S158" s="82" t="s">
        <v>218</v>
      </c>
    </row>
    <row r="159" spans="2:19" s="8" customFormat="1" ht="15" customHeight="1" x14ac:dyDescent="0.2">
      <c r="B159" s="230"/>
      <c r="C159" s="241"/>
      <c r="D159" s="160" t="s">
        <v>156</v>
      </c>
      <c r="E159" s="249" t="s">
        <v>161</v>
      </c>
      <c r="F159" s="250"/>
      <c r="G159" s="185" t="s">
        <v>34</v>
      </c>
      <c r="H159" s="182" t="s">
        <v>34</v>
      </c>
      <c r="I159" s="89" t="s">
        <v>88</v>
      </c>
      <c r="J159" s="46">
        <v>1</v>
      </c>
      <c r="K159" s="40"/>
      <c r="L159" s="47"/>
      <c r="M159" s="46" t="s">
        <v>89</v>
      </c>
      <c r="N159" s="55" t="s">
        <v>14</v>
      </c>
      <c r="O159" s="46"/>
      <c r="P159" s="40"/>
      <c r="Q159" s="40">
        <v>200</v>
      </c>
      <c r="R159" s="170">
        <f t="shared" ref="R159:R161" si="18">SUM(O159:Q159)</f>
        <v>200</v>
      </c>
      <c r="S159" s="81" t="s">
        <v>159</v>
      </c>
    </row>
    <row r="160" spans="2:19" s="8" customFormat="1" ht="15" customHeight="1" x14ac:dyDescent="0.2">
      <c r="B160" s="230"/>
      <c r="C160" s="241"/>
      <c r="D160" s="161" t="s">
        <v>157</v>
      </c>
      <c r="E160" s="251" t="s">
        <v>161</v>
      </c>
      <c r="F160" s="252"/>
      <c r="G160" s="186" t="s">
        <v>34</v>
      </c>
      <c r="H160" s="183" t="s">
        <v>34</v>
      </c>
      <c r="I160" s="90" t="s">
        <v>88</v>
      </c>
      <c r="J160" s="48">
        <v>1</v>
      </c>
      <c r="K160" s="34"/>
      <c r="L160" s="49"/>
      <c r="M160" s="48" t="s">
        <v>89</v>
      </c>
      <c r="N160" s="56" t="s">
        <v>14</v>
      </c>
      <c r="O160" s="48">
        <v>300</v>
      </c>
      <c r="P160" s="34"/>
      <c r="Q160" s="34"/>
      <c r="R160" s="171">
        <f t="shared" si="18"/>
        <v>300</v>
      </c>
      <c r="S160" s="82" t="s">
        <v>160</v>
      </c>
    </row>
    <row r="161" spans="2:19" s="8" customFormat="1" ht="15" customHeight="1" thickBot="1" x14ac:dyDescent="0.25">
      <c r="B161" s="230"/>
      <c r="C161" s="241"/>
      <c r="D161" s="162" t="s">
        <v>158</v>
      </c>
      <c r="E161" s="268" t="s">
        <v>161</v>
      </c>
      <c r="F161" s="269"/>
      <c r="G161" s="187" t="s">
        <v>34</v>
      </c>
      <c r="H161" s="184" t="s">
        <v>34</v>
      </c>
      <c r="I161" s="91" t="s">
        <v>88</v>
      </c>
      <c r="J161" s="50">
        <v>1</v>
      </c>
      <c r="K161" s="41"/>
      <c r="L161" s="51"/>
      <c r="M161" s="50" t="s">
        <v>89</v>
      </c>
      <c r="N161" s="57" t="s">
        <v>14</v>
      </c>
      <c r="O161" s="50"/>
      <c r="P161" s="41">
        <v>200</v>
      </c>
      <c r="Q161" s="41"/>
      <c r="R161" s="172">
        <f t="shared" si="18"/>
        <v>200</v>
      </c>
      <c r="S161" s="88" t="s">
        <v>349</v>
      </c>
    </row>
    <row r="162" spans="2:19" s="8" customFormat="1" ht="15" customHeight="1" thickBot="1" x14ac:dyDescent="0.25">
      <c r="B162" s="231"/>
      <c r="C162" s="74"/>
      <c r="D162" s="79" t="s">
        <v>16</v>
      </c>
      <c r="E162" s="266"/>
      <c r="F162" s="267"/>
      <c r="G162" s="43"/>
      <c r="H162" s="43"/>
      <c r="I162" s="19"/>
      <c r="J162" s="20">
        <f>SUM(J4:J161)</f>
        <v>37</v>
      </c>
      <c r="K162" s="20">
        <f>SUM(K4:K161)</f>
        <v>48</v>
      </c>
      <c r="L162" s="20">
        <f>SUM(L4:L161)</f>
        <v>73</v>
      </c>
      <c r="M162" s="20"/>
      <c r="N162" s="21"/>
      <c r="O162" s="72">
        <f>SUM(O8:O161)</f>
        <v>132400</v>
      </c>
      <c r="P162" s="72">
        <f>SUM(P8:P161)</f>
        <v>126250</v>
      </c>
      <c r="Q162" s="72">
        <f>SUM(Q8:Q161)</f>
        <v>115000</v>
      </c>
      <c r="R162" s="72">
        <f>SUM(R8:R161)</f>
        <v>373650</v>
      </c>
      <c r="S162" s="10"/>
    </row>
    <row r="163" spans="2:19" s="8" customFormat="1" ht="15" customHeight="1" thickBot="1" x14ac:dyDescent="0.25">
      <c r="B163" s="11"/>
      <c r="C163" s="11"/>
      <c r="D163" s="12"/>
      <c r="E163" s="13"/>
      <c r="F163" s="9"/>
      <c r="G163" s="44"/>
      <c r="H163" s="44"/>
      <c r="I163" s="14"/>
      <c r="J163" s="15"/>
      <c r="K163" s="15"/>
      <c r="L163" s="15"/>
      <c r="M163" s="16"/>
      <c r="N163" s="13"/>
      <c r="O163" s="16"/>
      <c r="P163" s="16"/>
      <c r="Q163" s="16"/>
      <c r="R163" s="16"/>
      <c r="S163" s="17"/>
    </row>
    <row r="164" spans="2:19" s="8" customFormat="1" ht="15" customHeight="1" x14ac:dyDescent="0.2">
      <c r="B164" s="11"/>
      <c r="C164" s="220" t="s">
        <v>53</v>
      </c>
      <c r="D164" s="22"/>
      <c r="E164" s="23"/>
      <c r="F164" s="23"/>
      <c r="G164" s="23"/>
      <c r="H164" s="23"/>
      <c r="I164" s="23"/>
      <c r="J164" s="36"/>
      <c r="K164" s="36"/>
      <c r="L164" s="36"/>
      <c r="M164" s="23"/>
      <c r="N164" s="23"/>
      <c r="O164" s="23"/>
      <c r="P164" s="264"/>
      <c r="Q164" s="264"/>
      <c r="R164" s="264"/>
      <c r="S164" s="265"/>
    </row>
    <row r="165" spans="2:19" s="8" customFormat="1" ht="16.5" customHeight="1" x14ac:dyDescent="0.25">
      <c r="C165" s="221"/>
      <c r="D165" s="24"/>
      <c r="E165" s="223" t="s">
        <v>17</v>
      </c>
      <c r="F165" s="223"/>
      <c r="G165" s="223"/>
      <c r="J165" s="35" t="s">
        <v>86</v>
      </c>
      <c r="K165" s="26"/>
      <c r="L165" s="25"/>
      <c r="M165" s="27"/>
      <c r="N165" s="27"/>
      <c r="O165" s="27"/>
      <c r="P165" s="16"/>
      <c r="Q165" s="16"/>
      <c r="R165" s="16"/>
      <c r="S165" s="37"/>
    </row>
    <row r="166" spans="2:19" ht="16.5" customHeight="1" x14ac:dyDescent="0.2">
      <c r="C166" s="221"/>
      <c r="D166" s="24"/>
      <c r="E166" s="223" t="s">
        <v>18</v>
      </c>
      <c r="F166" s="223"/>
      <c r="G166" s="223"/>
      <c r="H166" s="25"/>
      <c r="I166" s="8"/>
      <c r="J166" s="28"/>
      <c r="K166" s="26"/>
      <c r="L166" s="26"/>
      <c r="M166" s="27"/>
      <c r="N166" s="292"/>
      <c r="O166" s="292"/>
      <c r="P166" s="292"/>
      <c r="Q166" s="292"/>
      <c r="R166" s="292"/>
      <c r="S166" s="293"/>
    </row>
    <row r="167" spans="2:19" s="8" customFormat="1" ht="15" customHeight="1" x14ac:dyDescent="0.2">
      <c r="C167" s="221"/>
      <c r="D167" s="24"/>
      <c r="E167" s="223" t="s">
        <v>19</v>
      </c>
      <c r="F167" s="223"/>
      <c r="G167" s="223"/>
      <c r="H167" s="25"/>
      <c r="I167" s="14"/>
      <c r="J167" s="29">
        <v>0.9</v>
      </c>
      <c r="K167" s="26"/>
      <c r="L167" s="26"/>
      <c r="M167" s="27"/>
      <c r="N167" s="294" t="s">
        <v>24</v>
      </c>
      <c r="O167" s="294"/>
      <c r="P167" s="294"/>
      <c r="Q167" s="294"/>
      <c r="R167" s="294"/>
      <c r="S167" s="295"/>
    </row>
    <row r="168" spans="2:19" s="8" customFormat="1" ht="19.5" customHeight="1" x14ac:dyDescent="0.2">
      <c r="C168" s="221"/>
      <c r="D168" s="24"/>
      <c r="E168" s="223" t="s">
        <v>20</v>
      </c>
      <c r="F168" s="223"/>
      <c r="G168" s="223"/>
      <c r="J168" s="29">
        <f>R162/(1.73*380*J167)</f>
        <v>631.52824257174734</v>
      </c>
      <c r="K168" s="26"/>
      <c r="L168" s="26"/>
      <c r="M168" s="27"/>
      <c r="N168" s="294"/>
      <c r="O168" s="294"/>
      <c r="P168" s="294"/>
      <c r="Q168" s="294"/>
      <c r="R168" s="294"/>
      <c r="S168" s="295"/>
    </row>
    <row r="169" spans="2:19" s="8" customFormat="1" ht="19.5" customHeight="1" x14ac:dyDescent="0.2">
      <c r="C169" s="221"/>
      <c r="D169" s="24"/>
      <c r="E169" s="223" t="s">
        <v>21</v>
      </c>
      <c r="F169" s="223"/>
      <c r="G169" s="223"/>
      <c r="H169" s="25"/>
      <c r="J169" s="29">
        <f>J176/(1.73*380*0.9)</f>
        <v>563.21197985329411</v>
      </c>
      <c r="K169" s="26"/>
      <c r="L169" s="26"/>
      <c r="M169" s="27"/>
      <c r="N169" s="294"/>
      <c r="O169" s="294"/>
      <c r="P169" s="294"/>
      <c r="Q169" s="294"/>
      <c r="R169" s="294"/>
      <c r="S169" s="295"/>
    </row>
    <row r="170" spans="2:19" ht="15" customHeight="1" x14ac:dyDescent="0.2">
      <c r="C170" s="221"/>
      <c r="D170" s="24"/>
      <c r="E170" s="223" t="s">
        <v>22</v>
      </c>
      <c r="F170" s="223"/>
      <c r="G170" s="223"/>
      <c r="H170" s="25"/>
      <c r="J170" s="27" t="s">
        <v>255</v>
      </c>
      <c r="K170" s="26"/>
      <c r="L170" s="26"/>
      <c r="M170" s="27"/>
      <c r="N170" s="294"/>
      <c r="O170" s="294"/>
      <c r="P170" s="294"/>
      <c r="Q170" s="294"/>
      <c r="R170" s="294"/>
      <c r="S170" s="295"/>
    </row>
    <row r="171" spans="2:19" ht="15" customHeight="1" x14ac:dyDescent="0.2">
      <c r="C171" s="221"/>
      <c r="D171" s="24"/>
      <c r="E171" s="25"/>
      <c r="F171" s="25"/>
      <c r="G171" s="25"/>
      <c r="H171" s="25"/>
      <c r="J171" s="27"/>
      <c r="K171" s="26"/>
      <c r="L171" s="26"/>
      <c r="M171" s="27"/>
      <c r="N171" s="294"/>
      <c r="O171" s="294"/>
      <c r="P171" s="294"/>
      <c r="Q171" s="168"/>
      <c r="R171" s="163"/>
      <c r="S171" s="164"/>
    </row>
    <row r="172" spans="2:19" ht="15" customHeight="1" x14ac:dyDescent="0.2">
      <c r="C172" s="221"/>
      <c r="D172" s="24"/>
      <c r="E172" s="223" t="s">
        <v>260</v>
      </c>
      <c r="F172" s="223"/>
      <c r="G172" s="223"/>
      <c r="H172" s="223"/>
      <c r="I172" s="223"/>
      <c r="J172" s="166">
        <f>(8000*1)+((SUM(R8:R56)-8000)*0.8)</f>
        <v>38840</v>
      </c>
      <c r="K172" s="26"/>
      <c r="L172" s="26"/>
      <c r="M172" s="27"/>
      <c r="N172" s="294" t="s">
        <v>264</v>
      </c>
      <c r="O172" s="294"/>
      <c r="P172" s="294"/>
      <c r="Q172" s="168">
        <v>0.8</v>
      </c>
      <c r="R172" s="18"/>
      <c r="S172" s="165"/>
    </row>
    <row r="173" spans="2:19" ht="15" customHeight="1" x14ac:dyDescent="0.2">
      <c r="C173" s="221"/>
      <c r="D173" s="24"/>
      <c r="E173" s="223" t="s">
        <v>261</v>
      </c>
      <c r="F173" s="223"/>
      <c r="G173" s="223"/>
      <c r="H173" s="223"/>
      <c r="I173" s="223"/>
      <c r="J173" s="166">
        <f>SUM(R132:R161)*0.9</f>
        <v>9225</v>
      </c>
      <c r="K173" s="26"/>
      <c r="L173" s="26"/>
      <c r="M173" s="27"/>
      <c r="N173" s="294" t="s">
        <v>256</v>
      </c>
      <c r="O173" s="294"/>
      <c r="P173" s="294"/>
      <c r="Q173" s="168">
        <v>0.9</v>
      </c>
      <c r="R173" s="18"/>
      <c r="S173" s="165"/>
    </row>
    <row r="174" spans="2:19" ht="15" customHeight="1" x14ac:dyDescent="0.2">
      <c r="C174" s="221"/>
      <c r="D174" s="24"/>
      <c r="E174" s="223" t="s">
        <v>262</v>
      </c>
      <c r="F174" s="223"/>
      <c r="G174" s="223"/>
      <c r="H174" s="223"/>
      <c r="I174" s="223"/>
      <c r="J174" s="166">
        <f>(SUM(R120:R131)+SUM(R57:R66))*0.9</f>
        <v>88065</v>
      </c>
      <c r="K174" s="26"/>
      <c r="L174" s="26"/>
      <c r="M174" s="27"/>
      <c r="N174" s="294" t="s">
        <v>258</v>
      </c>
      <c r="O174" s="294"/>
      <c r="P174" s="294"/>
      <c r="Q174" s="168">
        <v>0.9</v>
      </c>
      <c r="R174" s="18"/>
      <c r="S174" s="165"/>
    </row>
    <row r="175" spans="2:19" ht="15" customHeight="1" x14ac:dyDescent="0.2">
      <c r="C175" s="221"/>
      <c r="D175" s="24"/>
      <c r="E175" s="223" t="s">
        <v>263</v>
      </c>
      <c r="F175" s="223"/>
      <c r="G175" s="223"/>
      <c r="H175" s="223"/>
      <c r="I175" s="223"/>
      <c r="J175" s="166">
        <f>SUM(R67:R119)*0.9</f>
        <v>197100</v>
      </c>
      <c r="K175" s="26"/>
      <c r="L175" s="26"/>
      <c r="M175" s="27"/>
      <c r="N175" s="294" t="s">
        <v>257</v>
      </c>
      <c r="O175" s="294"/>
      <c r="P175" s="294"/>
      <c r="Q175" s="168">
        <v>0.9</v>
      </c>
      <c r="R175" s="18"/>
      <c r="S175" s="165"/>
    </row>
    <row r="176" spans="2:19" s="8" customFormat="1" ht="15" customHeight="1" x14ac:dyDescent="0.2">
      <c r="C176" s="221"/>
      <c r="D176" s="24"/>
      <c r="E176" s="223" t="s">
        <v>259</v>
      </c>
      <c r="F176" s="223"/>
      <c r="G176" s="223"/>
      <c r="H176" s="223"/>
      <c r="I176" s="223"/>
      <c r="J176" s="167">
        <f>SUM(J172:J175)</f>
        <v>333230</v>
      </c>
      <c r="K176" s="26"/>
      <c r="L176" s="26"/>
      <c r="M176" s="27"/>
      <c r="N176" s="292"/>
      <c r="O176" s="292"/>
      <c r="P176" s="292"/>
      <c r="Q176" s="292"/>
      <c r="R176" s="292"/>
      <c r="S176" s="293"/>
    </row>
    <row r="177" spans="3:19" s="8" customFormat="1" ht="15" customHeight="1" x14ac:dyDescent="0.2">
      <c r="C177" s="221"/>
      <c r="D177" s="24"/>
      <c r="E177" s="223" t="s">
        <v>23</v>
      </c>
      <c r="F177" s="223"/>
      <c r="G177" s="223"/>
      <c r="H177" s="223"/>
      <c r="I177" s="223"/>
      <c r="J177" s="169" t="s">
        <v>265</v>
      </c>
      <c r="K177" s="26" t="s">
        <v>266</v>
      </c>
      <c r="L177" s="26"/>
      <c r="M177" s="27"/>
      <c r="N177" s="27"/>
      <c r="O177" s="27"/>
      <c r="P177" s="16"/>
      <c r="Q177" s="16"/>
      <c r="R177" s="16"/>
      <c r="S177" s="37"/>
    </row>
    <row r="178" spans="3:19" ht="15" customHeight="1" thickBot="1" x14ac:dyDescent="0.25">
      <c r="C178" s="222"/>
      <c r="D178" s="30"/>
      <c r="E178" s="31"/>
      <c r="F178" s="33"/>
      <c r="G178" s="33"/>
      <c r="H178" s="33"/>
      <c r="I178" s="31"/>
      <c r="J178" s="32"/>
      <c r="K178" s="32"/>
      <c r="L178" s="32"/>
      <c r="M178" s="31"/>
      <c r="N178" s="31"/>
      <c r="O178" s="31"/>
      <c r="P178" s="38"/>
      <c r="Q178" s="38"/>
      <c r="R178" s="38"/>
      <c r="S178" s="39"/>
    </row>
    <row r="179" spans="3:19" ht="15" customHeight="1" x14ac:dyDescent="0.2">
      <c r="F179" s="18"/>
      <c r="G179" s="18"/>
      <c r="H179" s="18"/>
    </row>
  </sheetData>
  <mergeCells count="92">
    <mergeCell ref="G107:H107"/>
    <mergeCell ref="G108:H108"/>
    <mergeCell ref="G147:G150"/>
    <mergeCell ref="T132:T139"/>
    <mergeCell ref="F120:G121"/>
    <mergeCell ref="F122:G123"/>
    <mergeCell ref="F124:G126"/>
    <mergeCell ref="F127:G128"/>
    <mergeCell ref="F129:G129"/>
    <mergeCell ref="F130:G131"/>
    <mergeCell ref="H120:H131"/>
    <mergeCell ref="E132:F139"/>
    <mergeCell ref="H142:H146"/>
    <mergeCell ref="H147:H150"/>
    <mergeCell ref="E147:F150"/>
    <mergeCell ref="E116:F119"/>
    <mergeCell ref="E57:F61"/>
    <mergeCell ref="E62:F66"/>
    <mergeCell ref="E88:F88"/>
    <mergeCell ref="E67:F71"/>
    <mergeCell ref="E72:F76"/>
    <mergeCell ref="E100:F105"/>
    <mergeCell ref="E97:F99"/>
    <mergeCell ref="E112:F115"/>
    <mergeCell ref="E106:F111"/>
    <mergeCell ref="E89:F89"/>
    <mergeCell ref="E90:F90"/>
    <mergeCell ref="E91:F91"/>
    <mergeCell ref="E92:F93"/>
    <mergeCell ref="E94:F96"/>
    <mergeCell ref="N176:S176"/>
    <mergeCell ref="N166:S166"/>
    <mergeCell ref="N167:S167"/>
    <mergeCell ref="N168:S168"/>
    <mergeCell ref="N169:S169"/>
    <mergeCell ref="N170:S170"/>
    <mergeCell ref="N171:P171"/>
    <mergeCell ref="N172:P172"/>
    <mergeCell ref="N173:P173"/>
    <mergeCell ref="N174:P174"/>
    <mergeCell ref="N175:P175"/>
    <mergeCell ref="E41:F48"/>
    <mergeCell ref="E9:F16"/>
    <mergeCell ref="E17:F24"/>
    <mergeCell ref="E25:F32"/>
    <mergeCell ref="E33:F40"/>
    <mergeCell ref="D1:S1"/>
    <mergeCell ref="D2:D3"/>
    <mergeCell ref="E2:I2"/>
    <mergeCell ref="J2:L2"/>
    <mergeCell ref="M2:M3"/>
    <mergeCell ref="N2:N3"/>
    <mergeCell ref="O2:R2"/>
    <mergeCell ref="S2:S3"/>
    <mergeCell ref="E3:F3"/>
    <mergeCell ref="P164:S164"/>
    <mergeCell ref="E162:F162"/>
    <mergeCell ref="E161:F161"/>
    <mergeCell ref="E151:F158"/>
    <mergeCell ref="G151:G158"/>
    <mergeCell ref="B4:B162"/>
    <mergeCell ref="D4:G6"/>
    <mergeCell ref="C9:C161"/>
    <mergeCell ref="C4:C6"/>
    <mergeCell ref="G140:G146"/>
    <mergeCell ref="E140:F146"/>
    <mergeCell ref="E159:F159"/>
    <mergeCell ref="E160:F160"/>
    <mergeCell ref="E77:F81"/>
    <mergeCell ref="E83:F83"/>
    <mergeCell ref="E84:F87"/>
    <mergeCell ref="E82:F82"/>
    <mergeCell ref="G106:H106"/>
    <mergeCell ref="H151:H158"/>
    <mergeCell ref="D8:G8"/>
    <mergeCell ref="E120:E131"/>
    <mergeCell ref="D7:G7"/>
    <mergeCell ref="C164:C178"/>
    <mergeCell ref="E165:G165"/>
    <mergeCell ref="E166:G166"/>
    <mergeCell ref="E167:G167"/>
    <mergeCell ref="E168:G168"/>
    <mergeCell ref="E169:G169"/>
    <mergeCell ref="E170:G170"/>
    <mergeCell ref="E172:I172"/>
    <mergeCell ref="E173:I173"/>
    <mergeCell ref="E174:I174"/>
    <mergeCell ref="E175:I175"/>
    <mergeCell ref="E176:I176"/>
    <mergeCell ref="E177:I177"/>
    <mergeCell ref="G88:H88"/>
    <mergeCell ref="E49:F56"/>
  </mergeCells>
  <phoneticPr fontId="12" type="noConversion"/>
  <conditionalFormatting sqref="D42:D48 J57:S61">
    <cfRule type="cellIs" dxfId="33" priority="236" stopIfTrue="1" operator="equal">
      <formula>0</formula>
    </cfRule>
  </conditionalFormatting>
  <conditionalFormatting sqref="D78:D131 D133:D139">
    <cfRule type="cellIs" dxfId="32" priority="71" stopIfTrue="1" operator="equal">
      <formula>0</formula>
    </cfRule>
  </conditionalFormatting>
  <conditionalFormatting sqref="D17:E17 D25:E25 D33:E33 D41:E41">
    <cfRule type="cellIs" dxfId="31" priority="91" stopIfTrue="1" operator="equal">
      <formula>0</formula>
    </cfRule>
  </conditionalFormatting>
  <conditionalFormatting sqref="D49:E49 D50:D76">
    <cfRule type="cellIs" dxfId="30" priority="27" stopIfTrue="1" operator="equal">
      <formula>0</formula>
    </cfRule>
  </conditionalFormatting>
  <conditionalFormatting sqref="D77:E77">
    <cfRule type="cellIs" dxfId="29" priority="100" stopIfTrue="1" operator="equal">
      <formula>0</formula>
    </cfRule>
  </conditionalFormatting>
  <conditionalFormatting sqref="D132:E132 G132:H132 G133:G139">
    <cfRule type="cellIs" dxfId="28" priority="72" stopIfTrue="1" operator="equal">
      <formula>0</formula>
    </cfRule>
  </conditionalFormatting>
  <conditionalFormatting sqref="D140:E140 G140:H140 G151:H151">
    <cfRule type="cellIs" dxfId="27" priority="667" stopIfTrue="1" operator="equal">
      <formula>0</formula>
    </cfRule>
  </conditionalFormatting>
  <conditionalFormatting sqref="E57">
    <cfRule type="cellIs" dxfId="26" priority="130" stopIfTrue="1" operator="equal">
      <formula>0</formula>
    </cfRule>
  </conditionalFormatting>
  <conditionalFormatting sqref="E62">
    <cfRule type="cellIs" dxfId="25" priority="86" stopIfTrue="1" operator="equal">
      <formula>0</formula>
    </cfRule>
  </conditionalFormatting>
  <conditionalFormatting sqref="E67">
    <cfRule type="cellIs" dxfId="24" priority="113" stopIfTrue="1" operator="equal">
      <formula>0</formula>
    </cfRule>
  </conditionalFormatting>
  <conditionalFormatting sqref="E72">
    <cfRule type="cellIs" dxfId="23" priority="88" stopIfTrue="1" operator="equal">
      <formula>0</formula>
    </cfRule>
  </conditionalFormatting>
  <conditionalFormatting sqref="E82:E83">
    <cfRule type="cellIs" dxfId="22" priority="96" stopIfTrue="1" operator="equal">
      <formula>0</formula>
    </cfRule>
  </conditionalFormatting>
  <conditionalFormatting sqref="E88:E90">
    <cfRule type="cellIs" dxfId="21" priority="64" stopIfTrue="1" operator="equal">
      <formula>0</formula>
    </cfRule>
  </conditionalFormatting>
  <conditionalFormatting sqref="E159:E161">
    <cfRule type="cellIs" dxfId="20" priority="101" stopIfTrue="1" operator="equal">
      <formula>0</formula>
    </cfRule>
  </conditionalFormatting>
  <conditionalFormatting sqref="G88">
    <cfRule type="cellIs" dxfId="19" priority="68" stopIfTrue="1" operator="equal">
      <formula>0</formula>
    </cfRule>
  </conditionalFormatting>
  <conditionalFormatting sqref="G106:G108">
    <cfRule type="cellIs" dxfId="18" priority="18" stopIfTrue="1" operator="equal">
      <formula>0</formula>
    </cfRule>
  </conditionalFormatting>
  <conditionalFormatting sqref="G77:H81">
    <cfRule type="cellIs" dxfId="17" priority="6" stopIfTrue="1" operator="equal">
      <formula>0</formula>
    </cfRule>
  </conditionalFormatting>
  <conditionalFormatting sqref="G159:H162">
    <cfRule type="cellIs" dxfId="16" priority="89" stopIfTrue="1" operator="equal">
      <formula>0</formula>
    </cfRule>
  </conditionalFormatting>
  <conditionalFormatting sqref="G3:M3">
    <cfRule type="cellIs" dxfId="15" priority="629" stopIfTrue="1" operator="equal">
      <formula>0</formula>
    </cfRule>
  </conditionalFormatting>
  <conditionalFormatting sqref="G84:S85">
    <cfRule type="cellIs" dxfId="14" priority="1" stopIfTrue="1" operator="equal">
      <formula>0</formula>
    </cfRule>
  </conditionalFormatting>
  <conditionalFormatting sqref="H135">
    <cfRule type="cellIs" dxfId="13" priority="70" stopIfTrue="1" operator="equal">
      <formula>0</formula>
    </cfRule>
  </conditionalFormatting>
  <conditionalFormatting sqref="H137:H138">
    <cfRule type="cellIs" dxfId="12" priority="17" stopIfTrue="1" operator="equal">
      <formula>0</formula>
    </cfRule>
  </conditionalFormatting>
  <conditionalFormatting sqref="H141:H142">
    <cfRule type="cellIs" dxfId="11" priority="16" stopIfTrue="1" operator="equal">
      <formula>0</formula>
    </cfRule>
  </conditionalFormatting>
  <conditionalFormatting sqref="I57:I66">
    <cfRule type="cellIs" dxfId="10" priority="78" stopIfTrue="1" operator="equal">
      <formula>0</formula>
    </cfRule>
  </conditionalFormatting>
  <conditionalFormatting sqref="I4:S56">
    <cfRule type="cellIs" dxfId="9" priority="28" stopIfTrue="1" operator="equal">
      <formula>0</formula>
    </cfRule>
  </conditionalFormatting>
  <conditionalFormatting sqref="I81:S83">
    <cfRule type="cellIs" dxfId="8" priority="3" stopIfTrue="1" operator="equal">
      <formula>0</formula>
    </cfRule>
  </conditionalFormatting>
  <conditionalFormatting sqref="I86:S139">
    <cfRule type="cellIs" dxfId="7" priority="19" stopIfTrue="1" operator="equal">
      <formula>0</formula>
    </cfRule>
  </conditionalFormatting>
  <conditionalFormatting sqref="J165:J167">
    <cfRule type="cellIs" dxfId="6" priority="645" stopIfTrue="1" operator="equal">
      <formula>0</formula>
    </cfRule>
  </conditionalFormatting>
  <conditionalFormatting sqref="J62:R66">
    <cfRule type="cellIs" dxfId="5" priority="52" stopIfTrue="1" operator="equal">
      <formula>0</formula>
    </cfRule>
  </conditionalFormatting>
  <conditionalFormatting sqref="K166:N176">
    <cfRule type="cellIs" dxfId="4" priority="632" stopIfTrue="1" operator="equal">
      <formula>0</formula>
    </cfRule>
  </conditionalFormatting>
  <conditionalFormatting sqref="K165:S165 K177:S179">
    <cfRule type="cellIs" dxfId="3" priority="633" stopIfTrue="1" operator="equal">
      <formula>0</formula>
    </cfRule>
  </conditionalFormatting>
  <conditionalFormatting sqref="O1:P1 D1:N2 O2:O3 E3 P3:R3 D4 D9:E9 J163:S164 I163:I171 D163:E179 F164:H164 H165:H171 B166:B178 J169:J179 F178:I179 F180:IY180 D190:E65604">
    <cfRule type="cellIs" dxfId="2" priority="673" stopIfTrue="1" operator="equal">
      <formula>0</formula>
    </cfRule>
  </conditionalFormatting>
  <conditionalFormatting sqref="S62:S80 I67:R80 O79:S80 B179:C65604 D180:D189 F181:P65604 R181:IY65604 Q181:Q65605">
    <cfRule type="cellIs" dxfId="1" priority="285" stopIfTrue="1" operator="equal">
      <formula>0</formula>
    </cfRule>
  </conditionalFormatting>
  <conditionalFormatting sqref="T1:IY132 D10:D16 D18:D24 D26:D32 D34:D40 U133:IY139 I140:R161 S140:S162 T140:IY179 D141:D161 E151">
    <cfRule type="cellIs" dxfId="0" priority="119" stopIfTrue="1" operator="equal">
      <formula>0</formula>
    </cfRule>
  </conditionalFormatting>
  <pageMargins left="0.25" right="0.25" top="0.75" bottom="0.75" header="0.3" footer="0.3"/>
  <pageSetup paperSize="8" scale="6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.</vt:lpstr>
      <vt:lpstr>'.'!Yazdırma_Alanı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2018-07-13T20:34:25Z</cp:lastPrinted>
  <dcterms:created xsi:type="dcterms:W3CDTF">2006-09-16T00:00:00Z</dcterms:created>
  <dcterms:modified xsi:type="dcterms:W3CDTF">2025-04-10T08:36:29Z</dcterms:modified>
</cp:coreProperties>
</file>