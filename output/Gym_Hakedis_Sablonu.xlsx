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KAPAK" sheetId="1" state="visible" r:id="rId1"/>
    <sheet name="2 · İCMAL" sheetId="2" state="visible" r:id="rId2"/>
    <sheet name="3 · HAKEDİŞ DETAY" sheetId="3" state="visible" r:id="rId3"/>
    <sheet name="4 · KESİNTİLER" sheetId="4" state="visible" r:id="rId4"/>
    <sheet name="5 · ÖDEME TAKİB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#,##0.00 &quot;TL&quot;"/>
  </numFmts>
  <fonts count="1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b val="1"/>
      <color rgb="FF16273D"/>
      <sz val="11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color rgb="FF8A8F98"/>
      <sz val="9"/>
    </font>
    <font>
      <name val="Calibri"/>
      <b val="1"/>
      <color rgb="FFFFFFFF"/>
      <sz val="9"/>
    </font>
    <font>
      <name val="Calibri"/>
      <color rgb="FF1C1C1C"/>
      <sz val="9"/>
    </font>
    <font>
      <name val="Calibri"/>
      <color rgb="FF8A8F98"/>
      <sz val="8"/>
    </font>
    <font>
      <name val="Calibri"/>
      <color rgb="FF6B7078"/>
      <sz val="9"/>
    </font>
    <font>
      <name val="Calibri"/>
      <color rgb="FF16273D"/>
      <sz val="10"/>
    </font>
    <font>
      <name val="Calibri"/>
      <b val="1"/>
      <color rgb="FFB87333"/>
      <sz val="10"/>
    </font>
    <font>
      <name val="Calibri"/>
      <b val="1"/>
      <color rgb="FFFFFFFF"/>
      <sz val="12"/>
    </font>
    <font>
      <name val="Calibri"/>
      <b val="1"/>
      <color rgb="FF16273D"/>
      <sz val="9"/>
    </font>
    <font>
      <name val="Calibri"/>
      <b val="1"/>
      <color rgb="FF1C1C1C"/>
      <sz val="9"/>
    </font>
    <font>
      <name val="Calibri"/>
      <color rgb="FF16273D"/>
      <sz val="9"/>
    </font>
    <font>
      <name val="Calibri"/>
      <b val="1"/>
      <color rgb="FFB87333"/>
      <sz val="9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FFFFFF"/>
      </patternFill>
    </fill>
    <fill>
      <patternFill patternType="solid">
        <fgColor rgb="FFE7EAEE"/>
      </patternFill>
    </fill>
    <fill>
      <patternFill patternType="solid">
        <fgColor rgb="FFB87333"/>
      </patternFill>
    </fill>
    <fill>
      <patternFill patternType="solid">
        <fgColor rgb="FF24405F"/>
      </patternFill>
    </fill>
    <fill>
      <patternFill patternType="solid">
        <fgColor rgb="FFFFF6E8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12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9" fontId="12" fillId="8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4" fontId="16" fillId="4" borderId="1" applyAlignment="1" pivotButton="0" quotePrefix="0" xfId="0">
      <alignment horizontal="right" vertical="center"/>
    </xf>
    <xf numFmtId="165" fontId="17" fillId="8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4" fontId="17" fillId="8" borderId="1" applyAlignment="1" pivotButton="0" quotePrefix="0" xfId="0">
      <alignment horizontal="right" vertical="center"/>
    </xf>
    <xf numFmtId="4" fontId="15" fillId="4" borderId="1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4" fontId="15" fillId="3" borderId="1" applyAlignment="1" pivotButton="0" quotePrefix="0" xfId="0">
      <alignment horizontal="right" vertical="center"/>
    </xf>
    <xf numFmtId="164" fontId="15" fillId="3" borderId="1" applyAlignment="1" pivotButton="0" quotePrefix="0" xfId="0">
      <alignment horizontal="right" vertical="center"/>
    </xf>
    <xf numFmtId="164" fontId="18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164" fontId="1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8" customWidth="1" min="3" max="3"/>
    <col width="18" customWidth="1" min="4" max="4"/>
    <col width="18" customWidth="1" min="5" max="5"/>
    <col width="20" customWidth="1" min="6" max="6"/>
    <col width="4" customWidth="1" min="7" max="7"/>
  </cols>
  <sheetData>
    <row r="1" ht="24" customHeight="1">
      <c r="A1" s="1" t="inlineStr">
        <is>
          <t>HAKEDİŞ RAPORU  ·  VALUATION REPORT</t>
        </is>
      </c>
    </row>
    <row r="3" ht="20" customHeight="1">
      <c r="C3" s="2" t="inlineStr">
        <is>
          <t>PROJE ADI (PROJECT NAME)</t>
        </is>
      </c>
      <c r="D3" s="3" t="inlineStr">
        <is>
          <t>MALTEPE / İDEALTEPE — MOBİLYA MAĞAZASI → FONKSİYONEL ANTRENMAN STÜDYOSU</t>
        </is>
      </c>
    </row>
    <row r="4" ht="20" customHeight="1">
      <c r="C4" s="2" t="inlineStr">
        <is>
          <t>İŞİN ADI ve NUMARASI (PACKAGE NO AND NAME)</t>
        </is>
      </c>
      <c r="D4" s="3" t="inlineStr">
        <is>
          <t>Mobilya mağazası → fonksiyonel antrenman stüdyosu dönüşümü</t>
        </is>
      </c>
    </row>
    <row r="5" ht="20" customHeight="1">
      <c r="C5" s="2" t="inlineStr">
        <is>
          <t>İŞVEREN (EMPLOYER)</t>
        </is>
      </c>
      <c r="D5" s="3" t="inlineStr">
        <is>
          <t>………………………………</t>
        </is>
      </c>
    </row>
    <row r="6" ht="20" customHeight="1">
      <c r="C6" s="2" t="inlineStr">
        <is>
          <t>YÜKLENİCİ (CONTRACTOR)</t>
        </is>
      </c>
      <c r="D6" s="3" t="inlineStr">
        <is>
          <t>………………………………</t>
        </is>
      </c>
    </row>
    <row r="7" ht="20" customHeight="1">
      <c r="C7" s="2" t="inlineStr">
        <is>
          <t>HAKEDİŞ NO (VALUATION NUMBER)</t>
        </is>
      </c>
      <c r="D7" s="3" t="inlineStr">
        <is>
          <t>…</t>
        </is>
      </c>
    </row>
    <row r="8" ht="20" customHeight="1">
      <c r="C8" s="2" t="inlineStr">
        <is>
          <t>HAKEDİŞ TANZİM TARİHİ (PREPARATION DATE)</t>
        </is>
      </c>
      <c r="D8" s="3" t="inlineStr">
        <is>
          <t>…… / …… / 20……</t>
        </is>
      </c>
    </row>
    <row r="9" ht="20" customHeight="1">
      <c r="C9" s="2" t="inlineStr">
        <is>
          <t>DÖNEM (PERIOD)</t>
        </is>
      </c>
      <c r="D9" s="3" t="inlineStr">
        <is>
          <t>…… / …… / 20……  –  …… / …… / 20……</t>
        </is>
      </c>
    </row>
    <row r="11" ht="22" customHeight="1">
      <c r="B11" s="4" t="inlineStr">
        <is>
          <t>1-</t>
        </is>
      </c>
      <c r="C11" s="3" t="inlineStr">
        <is>
          <t>GERÇEKLEŞEN İŞLER TUTARI (Total Amount of Executed Works)</t>
        </is>
      </c>
      <c r="F11" s="5">
        <f>'2 · İCMAL'!$H$20</f>
        <v/>
      </c>
    </row>
    <row r="12" ht="22" customHeight="1">
      <c r="B12" s="6" t="inlineStr">
        <is>
          <t>2-</t>
        </is>
      </c>
      <c r="C12" s="7" t="inlineStr">
        <is>
          <t>TOPLAM HAKEDİŞ TUTARI (Total Amount of Valuation)</t>
        </is>
      </c>
      <c r="F12" s="8">
        <f>F11</f>
        <v/>
      </c>
    </row>
    <row r="13" ht="22" customHeight="1">
      <c r="B13" s="4" t="inlineStr">
        <is>
          <t>3-</t>
        </is>
      </c>
      <c r="C13" s="3" t="inlineStr">
        <is>
          <t>KDV %20 (Value Added Tax)</t>
        </is>
      </c>
      <c r="F13" s="5">
        <f>F12*0.20</f>
        <v/>
      </c>
    </row>
    <row r="14" ht="22" customHeight="1">
      <c r="B14" s="4" t="inlineStr">
        <is>
          <t>4-</t>
        </is>
      </c>
      <c r="C14" s="3" t="inlineStr">
        <is>
          <t>KDV TEVKİFATI 4/10 (VAT Withholding)</t>
        </is>
      </c>
      <c r="F14" s="5">
        <f>F13*0.40</f>
        <v/>
      </c>
    </row>
    <row r="15" ht="22" customHeight="1">
      <c r="B15" s="6" t="inlineStr">
        <is>
          <t>5-</t>
        </is>
      </c>
      <c r="C15" s="7" t="inlineStr">
        <is>
          <t>GENEL TOPLAM — TEVKİFAT HARİÇ (Grand Total)</t>
        </is>
      </c>
      <c r="F15" s="8">
        <f>F12+F13-F14</f>
        <v/>
      </c>
    </row>
    <row r="16" ht="22" customHeight="1">
      <c r="B16" s="4" t="inlineStr">
        <is>
          <t>6-</t>
        </is>
      </c>
      <c r="C16" s="3" t="inlineStr">
        <is>
          <t>ÖNCEKİ HAKEDİŞLER TOPLAMI (Previous Valuations)</t>
        </is>
      </c>
      <c r="F16" s="5">
        <f>'2 · İCMAL'!$I$20</f>
        <v/>
      </c>
    </row>
    <row r="17" ht="22" customHeight="1">
      <c r="B17" s="4" t="inlineStr">
        <is>
          <t>7-</t>
        </is>
      </c>
      <c r="C17" s="3" t="inlineStr">
        <is>
          <t>AVANS MAHSUBU (Advance Deduction)</t>
        </is>
      </c>
      <c r="F17" s="5">
        <f>'4 · KESİNTİLER'!$E$20</f>
        <v/>
      </c>
    </row>
    <row r="18" ht="22" customHeight="1">
      <c r="B18" s="4" t="inlineStr">
        <is>
          <t>8-</t>
        </is>
      </c>
      <c r="C18" s="3" t="inlineStr">
        <is>
          <t>KESİNTİLER TOPLAMI (Total Deductions)</t>
        </is>
      </c>
      <c r="F18" s="5">
        <f>F16+F17</f>
        <v/>
      </c>
    </row>
    <row r="19" ht="22" customHeight="1">
      <c r="B19" s="9" t="inlineStr">
        <is>
          <t>9-</t>
        </is>
      </c>
      <c r="C19" s="10" t="inlineStr">
        <is>
          <t>YÜKLENİCİYE ÖDENECEK NET TUTAR (Net Payment to Contractor)</t>
        </is>
      </c>
      <c r="F19" s="11">
        <f>F15-F18</f>
        <v/>
      </c>
    </row>
    <row r="21" ht="28" customHeight="1">
      <c r="B21" s="12" t="inlineStr">
        <is>
          <t>KDV tevkifatı oranı, 5018 sayılı Kanun kapsamındaki işveren statüsüne göre değişir (yapım işlerinde 4/10). İşverenin mali müşaviriyle teyit edilecektir.</t>
        </is>
      </c>
    </row>
    <row r="23">
      <c r="B23" s="13" t="inlineStr">
        <is>
          <t>HAZIRLAYAN</t>
        </is>
      </c>
      <c r="D23" s="13" t="inlineStr">
        <is>
          <t>KONTROL</t>
        </is>
      </c>
      <c r="F23" s="13" t="inlineStr">
        <is>
          <t>ONAY</t>
        </is>
      </c>
    </row>
    <row r="24" ht="22" customHeight="1">
      <c r="B24" s="14" t="inlineStr"/>
      <c r="D24" s="14" t="inlineStr"/>
      <c r="F24" s="14" t="inlineStr"/>
    </row>
    <row r="25" ht="22" customHeight="1"/>
    <row r="26"/>
    <row r="27">
      <c r="B27" s="15" t="inlineStr">
        <is>
          <t>Proje müellifi</t>
        </is>
      </c>
      <c r="D27" s="15" t="inlineStr">
        <is>
          <t>Yapı denetim / mimar</t>
        </is>
      </c>
      <c r="F27" s="15" t="inlineStr">
        <is>
          <t>İşveren</t>
        </is>
      </c>
    </row>
  </sheetData>
  <mergeCells count="27">
    <mergeCell ref="C16:E16"/>
    <mergeCell ref="D7:F7"/>
    <mergeCell ref="B27:C27"/>
    <mergeCell ref="C12:E12"/>
    <mergeCell ref="B21:F21"/>
    <mergeCell ref="C11:E11"/>
    <mergeCell ref="F24:G26"/>
    <mergeCell ref="D4:F4"/>
    <mergeCell ref="D27:E27"/>
    <mergeCell ref="B23:C23"/>
    <mergeCell ref="D3:F3"/>
    <mergeCell ref="D9:F9"/>
    <mergeCell ref="C17:E17"/>
    <mergeCell ref="D8:F8"/>
    <mergeCell ref="D5:F5"/>
    <mergeCell ref="C13:E13"/>
    <mergeCell ref="C19:E19"/>
    <mergeCell ref="F23:G23"/>
    <mergeCell ref="C18:E18"/>
    <mergeCell ref="F27:G27"/>
    <mergeCell ref="C15:E15"/>
    <mergeCell ref="C14:E14"/>
    <mergeCell ref="B24:C26"/>
    <mergeCell ref="D24:E26"/>
    <mergeCell ref="A1:F1"/>
    <mergeCell ref="D23:E23"/>
    <mergeCell ref="D6:F6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8" customWidth="1" min="8" max="8"/>
    <col width="18" customWidth="1" min="9" max="9"/>
    <col width="14" customWidth="1" min="10" max="10"/>
  </cols>
  <sheetData>
    <row r="1" ht="24" customHeight="1">
      <c r="A1" s="1" t="inlineStr">
        <is>
          <t>İMALAT İCMALİ  ·  HAKEDİŞ ÖZETİ</t>
        </is>
      </c>
    </row>
    <row r="2" ht="15" customHeight="1">
      <c r="A2" s="16" t="inlineStr">
        <is>
          <t>MALTEPE / İDEALTEPE — MOBİLYA MAĞAZASI → FONKSİYONEL ANTRENMAN STÜDYOSU · Rev E · Sarı sütunlar her hakediş döneminde doldurulur</t>
        </is>
      </c>
    </row>
    <row r="4" ht="34" customHeight="1">
      <c r="A4" s="17" t="inlineStr">
        <is>
          <t>PAKET
NO</t>
        </is>
      </c>
      <c r="B4" s="17" t="inlineStr">
        <is>
          <t>UYGULAMA PAKETİ</t>
        </is>
      </c>
      <c r="C4" s="17" t="inlineStr">
        <is>
          <t>SÖZLEŞME BEDELİ
(KDV hariç)</t>
        </is>
      </c>
      <c r="D4" s="17" t="inlineStr">
        <is>
          <t>BÜTÇE TAHMİNİ
(düşük–yüksek)</t>
        </is>
      </c>
      <c r="E4" s="17" t="inlineStr">
        <is>
          <t>ÖNCEKİ
%</t>
        </is>
      </c>
      <c r="F4" s="17" t="inlineStr">
        <is>
          <t>BU HAKEDİŞ
%</t>
        </is>
      </c>
      <c r="G4" s="17" t="inlineStr">
        <is>
          <t>KÜMÜLATİF
%</t>
        </is>
      </c>
      <c r="H4" s="17" t="inlineStr">
        <is>
          <t>KÜMÜLATİF TUTAR</t>
        </is>
      </c>
      <c r="I4" s="17" t="inlineStr">
        <is>
          <t>ÖNCEKİ HAKEDİŞLER</t>
        </is>
      </c>
      <c r="J4" s="17" t="inlineStr">
        <is>
          <t>BU HAKEDİŞ</t>
        </is>
      </c>
    </row>
    <row r="5" ht="22" customHeight="1">
      <c r="A5" s="18" t="inlineStr">
        <is>
          <t>A</t>
        </is>
      </c>
      <c r="B5" s="19" t="inlineStr">
        <is>
          <t>YIKIM · SÖKÜM VE MOLOZ ATMA İŞLERİ</t>
        </is>
      </c>
      <c r="C5" s="20" t="n"/>
      <c r="D5" s="21" t="inlineStr">
        <is>
          <t>155.794 – 247.876</t>
        </is>
      </c>
      <c r="E5" s="22" t="n"/>
      <c r="F5" s="22" t="n"/>
      <c r="G5" s="23">
        <f>E5+F5</f>
        <v/>
      </c>
      <c r="H5" s="24">
        <f>C5*G5</f>
        <v/>
      </c>
      <c r="I5" s="25">
        <f>C5*E5</f>
        <v/>
      </c>
      <c r="J5" s="26">
        <f>C5*F5</f>
        <v/>
      </c>
    </row>
    <row r="6" ht="22" customHeight="1">
      <c r="A6" s="4" t="inlineStr">
        <is>
          <t>B</t>
        </is>
      </c>
      <c r="B6" s="3" t="inlineStr">
        <is>
          <t>BÖLME DUVAR VE ALÇIPAN İŞLERİ</t>
        </is>
      </c>
      <c r="C6" s="20" t="n"/>
      <c r="D6" s="27" t="inlineStr">
        <is>
          <t>354.543 – 450.588</t>
        </is>
      </c>
      <c r="E6" s="22" t="n"/>
      <c r="F6" s="22" t="n"/>
      <c r="G6" s="28">
        <f>E6+F6</f>
        <v/>
      </c>
      <c r="H6" s="29">
        <f>C6*G6</f>
        <v/>
      </c>
      <c r="I6" s="30">
        <f>C6*E6</f>
        <v/>
      </c>
      <c r="J6" s="31">
        <f>C6*F6</f>
        <v/>
      </c>
    </row>
    <row r="7" ht="22" customHeight="1">
      <c r="A7" s="18" t="inlineStr">
        <is>
          <t>C</t>
        </is>
      </c>
      <c r="B7" s="19" t="inlineStr">
        <is>
          <t>ŞAP VE TESVİYE İŞLERİ</t>
        </is>
      </c>
      <c r="C7" s="20" t="n"/>
      <c r="D7" s="21" t="inlineStr">
        <is>
          <t>86.050 – 122.188</t>
        </is>
      </c>
      <c r="E7" s="22" t="n"/>
      <c r="F7" s="22" t="n"/>
      <c r="G7" s="23">
        <f>E7+F7</f>
        <v/>
      </c>
      <c r="H7" s="24">
        <f>C7*G7</f>
        <v/>
      </c>
      <c r="I7" s="25">
        <f>C7*E7</f>
        <v/>
      </c>
      <c r="J7" s="26">
        <f>C7*F7</f>
        <v/>
      </c>
    </row>
    <row r="8" ht="22" customHeight="1">
      <c r="A8" s="4" t="inlineStr">
        <is>
          <t>D</t>
        </is>
      </c>
      <c r="B8" s="3" t="inlineStr">
        <is>
          <t>ZEMİN KAPLAMA VE SÜPÜRGELİK İŞLERİ</t>
        </is>
      </c>
      <c r="C8" s="20" t="n"/>
      <c r="D8" s="27" t="inlineStr">
        <is>
          <t>254.653 – 377.585</t>
        </is>
      </c>
      <c r="E8" s="22" t="n"/>
      <c r="F8" s="22" t="n"/>
      <c r="G8" s="28">
        <f>E8+F8</f>
        <v/>
      </c>
      <c r="H8" s="29">
        <f>C8*G8</f>
        <v/>
      </c>
      <c r="I8" s="30">
        <f>C8*E8</f>
        <v/>
      </c>
      <c r="J8" s="31">
        <f>C8*F8</f>
        <v/>
      </c>
    </row>
    <row r="9" ht="22" customHeight="1">
      <c r="A9" s="18" t="inlineStr">
        <is>
          <t>E</t>
        </is>
      </c>
      <c r="B9" s="19" t="inlineStr">
        <is>
          <t>SERAMİK VE SU YALITIMI İŞLERİ</t>
        </is>
      </c>
      <c r="C9" s="20" t="n"/>
      <c r="D9" s="21" t="inlineStr">
        <is>
          <t>102.629 – 152.964</t>
        </is>
      </c>
      <c r="E9" s="22" t="n"/>
      <c r="F9" s="22" t="n"/>
      <c r="G9" s="23">
        <f>E9+F9</f>
        <v/>
      </c>
      <c r="H9" s="24">
        <f>C9*G9</f>
        <v/>
      </c>
      <c r="I9" s="25">
        <f>C9*E9</f>
        <v/>
      </c>
      <c r="J9" s="26">
        <f>C9*F9</f>
        <v/>
      </c>
    </row>
    <row r="10" ht="22" customHeight="1">
      <c r="A10" s="4" t="inlineStr">
        <is>
          <t>F</t>
        </is>
      </c>
      <c r="B10" s="3" t="inlineStr">
        <is>
          <t>ASMA TAVAN VE BOYA İŞLERİ</t>
        </is>
      </c>
      <c r="C10" s="20" t="n"/>
      <c r="D10" s="27" t="inlineStr">
        <is>
          <t>309.829 – 466.315</t>
        </is>
      </c>
      <c r="E10" s="22" t="n"/>
      <c r="F10" s="22" t="n"/>
      <c r="G10" s="28">
        <f>E10+F10</f>
        <v/>
      </c>
      <c r="H10" s="29">
        <f>C10*G10</f>
        <v/>
      </c>
      <c r="I10" s="30">
        <f>C10*E10</f>
        <v/>
      </c>
      <c r="J10" s="31">
        <f>C10*F10</f>
        <v/>
      </c>
    </row>
    <row r="11" ht="22" customHeight="1">
      <c r="A11" s="18" t="inlineStr">
        <is>
          <t>G</t>
        </is>
      </c>
      <c r="B11" s="19" t="inlineStr">
        <is>
          <t>DOĞRAMA, CAM VE AYNA İŞLERİ</t>
        </is>
      </c>
      <c r="C11" s="20" t="n"/>
      <c r="D11" s="21" t="inlineStr">
        <is>
          <t>282.732 – 457.615</t>
        </is>
      </c>
      <c r="E11" s="22" t="n"/>
      <c r="F11" s="22" t="n"/>
      <c r="G11" s="23">
        <f>E11+F11</f>
        <v/>
      </c>
      <c r="H11" s="24">
        <f>C11*G11</f>
        <v/>
      </c>
      <c r="I11" s="25">
        <f>C11*E11</f>
        <v/>
      </c>
      <c r="J11" s="26">
        <f>C11*F11</f>
        <v/>
      </c>
    </row>
    <row r="12" ht="22" customHeight="1">
      <c r="A12" s="4" t="inlineStr">
        <is>
          <t>H</t>
        </is>
      </c>
      <c r="B12" s="3" t="inlineStr">
        <is>
          <t>SABİT MOBİLYA İŞLERİ</t>
        </is>
      </c>
      <c r="C12" s="20" t="n"/>
      <c r="D12" s="27" t="inlineStr">
        <is>
          <t>173.900 – 290.500</t>
        </is>
      </c>
      <c r="E12" s="22" t="n"/>
      <c r="F12" s="22" t="n"/>
      <c r="G12" s="28">
        <f>E12+F12</f>
        <v/>
      </c>
      <c r="H12" s="29">
        <f>C12*G12</f>
        <v/>
      </c>
      <c r="I12" s="30">
        <f>C12*E12</f>
        <v/>
      </c>
      <c r="J12" s="31">
        <f>C12*F12</f>
        <v/>
      </c>
    </row>
    <row r="13" ht="22" customHeight="1">
      <c r="A13" s="18" t="inlineStr">
        <is>
          <t>I</t>
        </is>
      </c>
      <c r="B13" s="19" t="inlineStr">
        <is>
          <t>YANGIN GÜVENLİK VE İŞARETLEME</t>
        </is>
      </c>
      <c r="C13" s="20" t="n"/>
      <c r="D13" s="21" t="inlineStr">
        <is>
          <t>50.750 – 84.100</t>
        </is>
      </c>
      <c r="E13" s="22" t="n"/>
      <c r="F13" s="22" t="n"/>
      <c r="G13" s="23">
        <f>E13+F13</f>
        <v/>
      </c>
      <c r="H13" s="24">
        <f>C13*G13</f>
        <v/>
      </c>
      <c r="I13" s="25">
        <f>C13*E13</f>
        <v/>
      </c>
      <c r="J13" s="26">
        <f>C13*F13</f>
        <v/>
      </c>
    </row>
    <row r="14" ht="22" customHeight="1">
      <c r="A14" s="4" t="inlineStr">
        <is>
          <t>J</t>
        </is>
      </c>
      <c r="B14" s="3" t="inlineStr">
        <is>
          <t>ŞANTİYE GENEL GİDERLERİ</t>
        </is>
      </c>
      <c r="C14" s="20" t="n"/>
      <c r="D14" s="27" t="inlineStr">
        <is>
          <t>324.314 – 496.873</t>
        </is>
      </c>
      <c r="E14" s="22" t="n"/>
      <c r="F14" s="22" t="n"/>
      <c r="G14" s="28">
        <f>E14+F14</f>
        <v/>
      </c>
      <c r="H14" s="29">
        <f>C14*G14</f>
        <v/>
      </c>
      <c r="I14" s="30">
        <f>C14*E14</f>
        <v/>
      </c>
      <c r="J14" s="31">
        <f>C14*F14</f>
        <v/>
      </c>
    </row>
    <row r="15" ht="22" customHeight="1">
      <c r="A15" s="18" t="inlineStr">
        <is>
          <t>K</t>
        </is>
      </c>
      <c r="B15" s="19" t="inlineStr">
        <is>
          <t>MEKANİK TESİSAT İŞLERİ</t>
        </is>
      </c>
      <c r="C15" s="20" t="n"/>
      <c r="D15" s="21" t="inlineStr">
        <is>
          <t>514.423 – 866.708</t>
        </is>
      </c>
      <c r="E15" s="22" t="n"/>
      <c r="F15" s="22" t="n"/>
      <c r="G15" s="23">
        <f>E15+F15</f>
        <v/>
      </c>
      <c r="H15" s="24">
        <f>C15*G15</f>
        <v/>
      </c>
      <c r="I15" s="25">
        <f>C15*E15</f>
        <v/>
      </c>
      <c r="J15" s="26">
        <f>C15*F15</f>
        <v/>
      </c>
    </row>
    <row r="16" ht="22" customHeight="1">
      <c r="A16" s="4" t="inlineStr">
        <is>
          <t>L</t>
        </is>
      </c>
      <c r="B16" s="3" t="inlineStr">
        <is>
          <t>ELEKTRİK TESİSAT İŞLERİ</t>
        </is>
      </c>
      <c r="C16" s="20" t="n"/>
      <c r="D16" s="27" t="inlineStr">
        <is>
          <t>402.580 – 682.600</t>
        </is>
      </c>
      <c r="E16" s="22" t="n"/>
      <c r="F16" s="22" t="n"/>
      <c r="G16" s="28">
        <f>E16+F16</f>
        <v/>
      </c>
      <c r="H16" s="29">
        <f>C16*G16</f>
        <v/>
      </c>
      <c r="I16" s="30">
        <f>C16*E16</f>
        <v/>
      </c>
      <c r="J16" s="31">
        <f>C16*F16</f>
        <v/>
      </c>
    </row>
    <row r="17">
      <c r="A17" s="32" t="inlineStr">
        <is>
          <t>DOĞRUDAN İMALAT TOPLAMI</t>
        </is>
      </c>
      <c r="C17" s="8">
        <f>SUM(C5:C16)</f>
        <v/>
      </c>
      <c r="D17" s="6" t="inlineStr"/>
      <c r="E17" s="6" t="inlineStr"/>
      <c r="F17" s="6" t="inlineStr"/>
      <c r="G17" s="6" t="inlineStr"/>
      <c r="H17" s="8">
        <f>SUM(H5:H16)</f>
        <v/>
      </c>
      <c r="I17" s="8">
        <f>SUM(I5:I16)</f>
        <v/>
      </c>
      <c r="J17" s="8">
        <f>SUM(J5:J16)</f>
        <v/>
      </c>
    </row>
    <row r="18" ht="24" customHeight="1">
      <c r="A18" s="4" t="inlineStr"/>
      <c r="B18" s="3" t="inlineStr">
        <is>
          <t>Yüklenici koordinasyon / genel gider ve kâr — inşaat %20, MEP %10</t>
        </is>
      </c>
      <c r="C18" s="29">
        <f>SUMPRODUCT(C5:C16,{0.2;0.2;0.2;0.2;0.2;0.2;0.2;0.2;0.2;0.2;0.1;0.1}})</f>
        <v/>
      </c>
      <c r="D18" s="33" t="inlineStr"/>
      <c r="E18" s="33" t="inlineStr"/>
      <c r="F18" s="33" t="inlineStr"/>
      <c r="G18" s="33" t="inlineStr"/>
      <c r="H18" s="29">
        <f>SUMPRODUCT(H5:H16,{0.2;0.2;0.2;0.2;0.2;0.2;0.2;0.2;0.2;0.2;0.1;0.1}})</f>
        <v/>
      </c>
      <c r="I18" s="30">
        <f>SUMPRODUCT(I5:I16,{0.2;0.2;0.2;0.2;0.2;0.2;0.2;0.2;0.2;0.2;0.1;0.1}})</f>
        <v/>
      </c>
      <c r="J18" s="31">
        <f>SUMPRODUCT(J5:J16,{0.2;0.2;0.2;0.2;0.2;0.2;0.2;0.2;0.2;0.2;0.1;0.1}})</f>
        <v/>
      </c>
    </row>
    <row r="19" ht="22" customHeight="1">
      <c r="A19" s="34" t="inlineStr"/>
      <c r="B19" s="35" t="inlineStr">
        <is>
          <t>GERÇEKLEŞEN İŞLER TUTARI (KDV HARİÇ)</t>
        </is>
      </c>
      <c r="C19" s="36">
        <f>C17+C18</f>
        <v/>
      </c>
      <c r="D19" s="9" t="inlineStr"/>
      <c r="E19" s="9" t="inlineStr"/>
      <c r="F19" s="9" t="inlineStr"/>
      <c r="G19" s="9" t="inlineStr"/>
      <c r="H19" s="36">
        <f>H17+H18</f>
        <v/>
      </c>
      <c r="I19" s="36">
        <f>I17+I18</f>
        <v/>
      </c>
      <c r="J19" s="36">
        <f>J17+J18</f>
        <v/>
      </c>
    </row>
  </sheetData>
  <mergeCells count="3">
    <mergeCell ref="A1:J1"/>
    <mergeCell ref="A17:B17"/>
    <mergeCell ref="A2:J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8" customWidth="1" min="3" max="3"/>
    <col width="11" customWidth="1" min="4" max="4"/>
    <col width="13" customWidth="1" min="5" max="5"/>
    <col width="14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 ht="24" customHeight="1">
      <c r="A1" s="1" t="inlineStr">
        <is>
          <t>HAKEDİŞ DETAYI  ·  POZ BAZINDA GERÇEKLEŞME</t>
        </is>
      </c>
    </row>
    <row r="2" ht="15" customHeight="1">
      <c r="A2" s="16" t="inlineStr">
        <is>
          <t>Sözleşme metrajı sabittir. «BU HAKEDİŞ METRAJI» sütunu her dönem doldurulur; kümülatif metraj ve tutar canlı hesaplanır.</t>
        </is>
      </c>
    </row>
    <row r="4" ht="34" customHeight="1">
      <c r="A4" s="17" t="inlineStr">
        <is>
          <t>POZ NO</t>
        </is>
      </c>
      <c r="B4" s="17" t="inlineStr">
        <is>
          <t>YAPILACAK İŞİN CİNSİ</t>
        </is>
      </c>
      <c r="C4" s="17" t="inlineStr">
        <is>
          <t>BİRİM</t>
        </is>
      </c>
      <c r="D4" s="17" t="inlineStr">
        <is>
          <t>SÖZLEŞME
METRAJI</t>
        </is>
      </c>
      <c r="E4" s="17" t="inlineStr">
        <is>
          <t>SÖZLEŞME
BİRİM FİYATI</t>
        </is>
      </c>
      <c r="F4" s="17" t="inlineStr">
        <is>
          <t>SÖZLEŞME
TUTARI</t>
        </is>
      </c>
      <c r="G4" s="17" t="inlineStr">
        <is>
          <t>ÖNCEKİ
METRAJ</t>
        </is>
      </c>
      <c r="H4" s="17" t="inlineStr">
        <is>
          <t>BU HAKEDİŞ
METRAJ</t>
        </is>
      </c>
      <c r="I4" s="17" t="inlineStr">
        <is>
          <t>KÜMÜLATİF
METRAJ</t>
        </is>
      </c>
      <c r="J4" s="17" t="inlineStr">
        <is>
          <t>KÜMÜLATİF
TUTAR</t>
        </is>
      </c>
      <c r="K4" s="17" t="inlineStr">
        <is>
          <t>BU HAKEDİŞ
TUTAR</t>
        </is>
      </c>
    </row>
    <row r="5" ht="18" customHeight="1">
      <c r="A5" s="6" t="inlineStr">
        <is>
          <t>A</t>
        </is>
      </c>
      <c r="B5" s="37" t="inlineStr">
        <is>
          <t>YIKIM · SÖKÜM VE MOLOZ ATMA İŞLERİ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</row>
    <row r="6" ht="28" customHeight="1">
      <c r="A6" s="39" t="inlineStr">
        <is>
          <t>A.1.1</t>
        </is>
      </c>
      <c r="B6" s="40" t="inlineStr">
        <is>
          <t>Mevcut zemin kaplaması sökümü ve altlık temizliği</t>
        </is>
      </c>
      <c r="C6" s="14" t="inlineStr">
        <is>
          <t>m²</t>
        </is>
      </c>
      <c r="D6" s="41" t="n">
        <v>103.78</v>
      </c>
      <c r="E6" s="42" t="n"/>
      <c r="F6" s="43">
        <f>D6*E6</f>
        <v/>
      </c>
      <c r="G6" s="44" t="n"/>
      <c r="H6" s="44" t="n"/>
      <c r="I6" s="45">
        <f>G6+H6</f>
        <v/>
      </c>
      <c r="J6" s="46">
        <f>I6*E6</f>
        <v/>
      </c>
      <c r="K6" s="47">
        <f>H6*E6</f>
        <v/>
      </c>
    </row>
    <row r="7" ht="28" customHeight="1">
      <c r="A7" s="48" t="inlineStr">
        <is>
          <t>A.1.2</t>
        </is>
      </c>
      <c r="B7" s="49" t="inlineStr">
        <is>
          <t>Mevcut asma tavan ve aydınlatma armatürü sökümü</t>
        </is>
      </c>
      <c r="C7" s="50" t="inlineStr">
        <is>
          <t>m²</t>
        </is>
      </c>
      <c r="D7" s="51" t="n">
        <v>103.78</v>
      </c>
      <c r="E7" s="42" t="n"/>
      <c r="F7" s="52">
        <f>D7*E7</f>
        <v/>
      </c>
      <c r="G7" s="44" t="n"/>
      <c r="H7" s="44" t="n"/>
      <c r="I7" s="53">
        <f>G7+H7</f>
        <v/>
      </c>
      <c r="J7" s="54">
        <f>I7*E7</f>
        <v/>
      </c>
      <c r="K7" s="55">
        <f>H7*E7</f>
        <v/>
      </c>
    </row>
    <row r="8" ht="28" customHeight="1">
      <c r="A8" s="39" t="inlineStr">
        <is>
          <t>A.1.3</t>
        </is>
      </c>
      <c r="B8" s="40" t="inlineStr">
        <is>
          <t>Islak hacimde mevcut şap kırımı (ort. 70 mm, tesisat boşluğu)</t>
        </is>
      </c>
      <c r="C8" s="14" t="inlineStr">
        <is>
          <t>m²</t>
        </is>
      </c>
      <c r="D8" s="41" t="n">
        <v>6.19</v>
      </c>
      <c r="E8" s="42" t="n"/>
      <c r="F8" s="43">
        <f>D8*E8</f>
        <v/>
      </c>
      <c r="G8" s="44" t="n"/>
      <c r="H8" s="44" t="n"/>
      <c r="I8" s="45">
        <f>G8+H8</f>
        <v/>
      </c>
      <c r="J8" s="46">
        <f>I8*E8</f>
        <v/>
      </c>
      <c r="K8" s="47">
        <f>H8*E8</f>
        <v/>
      </c>
    </row>
    <row r="9" ht="28" customHeight="1">
      <c r="A9" s="48" t="inlineStr">
        <is>
          <t>A.1.4</t>
        </is>
      </c>
      <c r="B9" s="49" t="inlineStr">
        <is>
          <t>Mevcut sıva üstü elektrik tesisatı ve tablosu sökümü</t>
        </is>
      </c>
      <c r="C9" s="50" t="inlineStr">
        <is>
          <t>tk</t>
        </is>
      </c>
      <c r="D9" s="51" t="n">
        <v>1</v>
      </c>
      <c r="E9" s="42" t="n"/>
      <c r="F9" s="52">
        <f>D9*E9</f>
        <v/>
      </c>
      <c r="G9" s="44" t="n"/>
      <c r="H9" s="44" t="n"/>
      <c r="I9" s="53">
        <f>G9+H9</f>
        <v/>
      </c>
      <c r="J9" s="54">
        <f>I9*E9</f>
        <v/>
      </c>
      <c r="K9" s="55">
        <f>H9*E9</f>
        <v/>
      </c>
    </row>
    <row r="10" ht="28" customHeight="1">
      <c r="A10" s="39" t="inlineStr">
        <is>
          <t>A.1.5</t>
        </is>
      </c>
      <c r="B10" s="40" t="inlineStr">
        <is>
          <t>Mevcut mağaza rafı, teşhir ünitesi ve mobilya sökümü</t>
        </is>
      </c>
      <c r="C10" s="14" t="inlineStr">
        <is>
          <t>tk</t>
        </is>
      </c>
      <c r="D10" s="41" t="n">
        <v>1</v>
      </c>
      <c r="E10" s="42" t="n"/>
      <c r="F10" s="43">
        <f>D10*E10</f>
        <v/>
      </c>
      <c r="G10" s="44" t="n"/>
      <c r="H10" s="44" t="n"/>
      <c r="I10" s="45">
        <f>G10+H10</f>
        <v/>
      </c>
      <c r="J10" s="46">
        <f>I10*E10</f>
        <v/>
      </c>
      <c r="K10" s="47">
        <f>H10*E10</f>
        <v/>
      </c>
    </row>
    <row r="11" ht="28" customHeight="1">
      <c r="A11" s="48" t="inlineStr">
        <is>
          <t>A.1.6</t>
        </is>
      </c>
      <c r="B11" s="49" t="inlineStr">
        <is>
          <t>Moloz çuvallama, yatay-düşey taşıma ve döküm sahasına nakli</t>
        </is>
      </c>
      <c r="C11" s="50" t="inlineStr">
        <is>
          <t>m³</t>
        </is>
      </c>
      <c r="D11" s="51" t="n">
        <v>13.47</v>
      </c>
      <c r="E11" s="42" t="n"/>
      <c r="F11" s="52">
        <f>D11*E11</f>
        <v/>
      </c>
      <c r="G11" s="44" t="n"/>
      <c r="H11" s="44" t="n"/>
      <c r="I11" s="53">
        <f>G11+H11</f>
        <v/>
      </c>
      <c r="J11" s="54">
        <f>I11*E11</f>
        <v/>
      </c>
      <c r="K11" s="55">
        <f>H11*E11</f>
        <v/>
      </c>
    </row>
    <row r="12" ht="18" customHeight="1">
      <c r="A12" s="6" t="inlineStr">
        <is>
          <t>B</t>
        </is>
      </c>
      <c r="B12" s="37" t="inlineStr">
        <is>
          <t>BÖLME DUVAR VE ALÇIPAN İŞLERİ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</row>
    <row r="13" ht="28" customHeight="1">
      <c r="A13" s="48" t="inlineStr">
        <is>
          <t>B.1.1</t>
        </is>
      </c>
      <c r="B13" s="49" t="inlineStr">
        <is>
          <t>D2 alçıpan bölme — 50 mm C profil @400 + 40 mm taşyünü + her yüz 2×12,5 mm A tipi alçıpan (toplam 100 mm)</t>
        </is>
      </c>
      <c r="C13" s="50" t="inlineStr">
        <is>
          <t>m²</t>
        </is>
      </c>
      <c r="D13" s="51" t="n">
        <v>28.44</v>
      </c>
      <c r="E13" s="42" t="n"/>
      <c r="F13" s="52">
        <f>D13*E13</f>
        <v/>
      </c>
      <c r="G13" s="44" t="n"/>
      <c r="H13" s="44" t="n"/>
      <c r="I13" s="53">
        <f>G13+H13</f>
        <v/>
      </c>
      <c r="J13" s="54">
        <f>I13*E13</f>
        <v/>
      </c>
      <c r="K13" s="55">
        <f>H13*E13</f>
        <v/>
      </c>
    </row>
    <row r="14" ht="28" customHeight="1">
      <c r="A14" s="39" t="inlineStr">
        <is>
          <t>B.1.2</t>
        </is>
      </c>
      <c r="B14" s="40" t="inlineStr">
        <is>
          <t>D3 alçıpan bölme — ıslak yüzde 2×12,5 mm H2 (yeşil) alçıpan, kuru yüzde 2×12,5 mm A tipi (toplam 100 mm)</t>
        </is>
      </c>
      <c r="C14" s="14" t="inlineStr">
        <is>
          <t>m²</t>
        </is>
      </c>
      <c r="D14" s="41" t="n">
        <v>60.42</v>
      </c>
      <c r="E14" s="42" t="n"/>
      <c r="F14" s="43">
        <f>D14*E14</f>
        <v/>
      </c>
      <c r="G14" s="44" t="n"/>
      <c r="H14" s="44" t="n"/>
      <c r="I14" s="45">
        <f>G14+H14</f>
        <v/>
      </c>
      <c r="J14" s="46">
        <f>I14*E14</f>
        <v/>
      </c>
      <c r="K14" s="47">
        <f>H14*E14</f>
        <v/>
      </c>
    </row>
    <row r="15" ht="28" customHeight="1">
      <c r="A15" s="48" t="inlineStr">
        <is>
          <t>B.1.3</t>
        </is>
      </c>
      <c r="B15" s="49" t="inlineStr">
        <is>
          <t>D4 akustik giydirme — bağımsız C profil karkas + 50 mm taşyünü + 12,5 mm akustik + 12,5 mm A tipi alçıpan (toplam 95 mm)</t>
        </is>
      </c>
      <c r="C15" s="50" t="inlineStr">
        <is>
          <t>m²</t>
        </is>
      </c>
      <c r="D15" s="51" t="n">
        <v>16.08</v>
      </c>
      <c r="E15" s="42" t="n"/>
      <c r="F15" s="52">
        <f>D15*E15</f>
        <v/>
      </c>
      <c r="G15" s="44" t="n"/>
      <c r="H15" s="44" t="n"/>
      <c r="I15" s="53">
        <f>G15+H15</f>
        <v/>
      </c>
      <c r="J15" s="54">
        <f>I15*E15</f>
        <v/>
      </c>
      <c r="K15" s="55">
        <f>H15*E15</f>
        <v/>
      </c>
    </row>
    <row r="16" ht="18" customHeight="1">
      <c r="A16" s="6" t="inlineStr">
        <is>
          <t>C</t>
        </is>
      </c>
      <c r="B16" s="37" t="inlineStr">
        <is>
          <t>ŞAP VE TESVİYE İŞLERİ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</row>
    <row r="17" ht="28" customHeight="1">
      <c r="A17" s="48" t="inlineStr">
        <is>
          <t>C.1.1</t>
        </is>
      </c>
      <c r="B17" s="49" t="inlineStr">
        <is>
          <t>Çimento esaslı kendinden yayılan tesviye şapı 3 mm — Z1 bölgesi (bitmiş kot ±0,00 eşitlemesi)</t>
        </is>
      </c>
      <c r="C17" s="50" t="inlineStr">
        <is>
          <t>m²</t>
        </is>
      </c>
      <c r="D17" s="51" t="n">
        <v>31.76</v>
      </c>
      <c r="E17" s="42" t="n"/>
      <c r="F17" s="52">
        <f>D17*E17</f>
        <v/>
      </c>
      <c r="G17" s="44" t="n"/>
      <c r="H17" s="44" t="n"/>
      <c r="I17" s="53">
        <f>G17+H17</f>
        <v/>
      </c>
      <c r="J17" s="54">
        <f>I17*E17</f>
        <v/>
      </c>
      <c r="K17" s="55">
        <f>H17*E17</f>
        <v/>
      </c>
    </row>
    <row r="18" ht="28" customHeight="1">
      <c r="A18" s="39" t="inlineStr">
        <is>
          <t>C.1.2</t>
        </is>
      </c>
      <c r="B18" s="40" t="inlineStr">
        <is>
          <t>Çimento esaslı tesviye şapı 30 mm — Z2 bölgesi (bitmiş kot ±0,00 eşitlemesi)</t>
        </is>
      </c>
      <c r="C18" s="14" t="inlineStr">
        <is>
          <t>m²</t>
        </is>
      </c>
      <c r="D18" s="41" t="n">
        <v>22.31</v>
      </c>
      <c r="E18" s="42" t="n"/>
      <c r="F18" s="43">
        <f>D18*E18</f>
        <v/>
      </c>
      <c r="G18" s="44" t="n"/>
      <c r="H18" s="44" t="n"/>
      <c r="I18" s="45">
        <f>G18+H18</f>
        <v/>
      </c>
      <c r="J18" s="46">
        <f>I18*E18</f>
        <v/>
      </c>
      <c r="K18" s="47">
        <f>H18*E18</f>
        <v/>
      </c>
    </row>
    <row r="19" ht="28" customHeight="1">
      <c r="A19" s="48" t="inlineStr">
        <is>
          <t>C.1.3</t>
        </is>
      </c>
      <c r="B19" s="49" t="inlineStr">
        <is>
          <t>Çimento esaslı tesviye şapı 42 mm — Z3 bölgesi (bitmiş kot ±0,00 eşitlemesi)</t>
        </is>
      </c>
      <c r="C19" s="50" t="inlineStr">
        <is>
          <t>m²</t>
        </is>
      </c>
      <c r="D19" s="51" t="n">
        <v>32.98</v>
      </c>
      <c r="E19" s="42" t="n"/>
      <c r="F19" s="52">
        <f>D19*E19</f>
        <v/>
      </c>
      <c r="G19" s="44" t="n"/>
      <c r="H19" s="44" t="n"/>
      <c r="I19" s="53">
        <f>G19+H19</f>
        <v/>
      </c>
      <c r="J19" s="54">
        <f>I19*E19</f>
        <v/>
      </c>
      <c r="K19" s="55">
        <f>H19*E19</f>
        <v/>
      </c>
    </row>
    <row r="20" ht="28" customHeight="1">
      <c r="A20" s="39" t="inlineStr">
        <is>
          <t>C.1.4</t>
        </is>
      </c>
      <c r="B20" s="40" t="inlineStr">
        <is>
          <t>Çimento esaslı tesviye şapı 38 mm — Z5 bölgesi (bitmiş kot ±0,00 eşitlemesi)</t>
        </is>
      </c>
      <c r="C20" s="14" t="inlineStr">
        <is>
          <t>m²</t>
        </is>
      </c>
      <c r="D20" s="41" t="n">
        <v>10.07</v>
      </c>
      <c r="E20" s="42" t="n"/>
      <c r="F20" s="43">
        <f>D20*E20</f>
        <v/>
      </c>
      <c r="G20" s="44" t="n"/>
      <c r="H20" s="44" t="n"/>
      <c r="I20" s="45">
        <f>G20+H20</f>
        <v/>
      </c>
      <c r="J20" s="46">
        <f>I20*E20</f>
        <v/>
      </c>
      <c r="K20" s="47">
        <f>H20*E20</f>
        <v/>
      </c>
    </row>
    <row r="21" ht="28" customHeight="1">
      <c r="A21" s="48" t="inlineStr">
        <is>
          <t>C.1.5</t>
        </is>
      </c>
      <c r="B21" s="49" t="inlineStr">
        <is>
          <t>Islak hacim tesisat şapı + süzgeğe %1,5 eğimli eğim şapı (ort. 40 mm)</t>
        </is>
      </c>
      <c r="C21" s="50" t="inlineStr">
        <is>
          <t>m²</t>
        </is>
      </c>
      <c r="D21" s="51" t="n">
        <v>6.19</v>
      </c>
      <c r="E21" s="42" t="n"/>
      <c r="F21" s="52">
        <f>D21*E21</f>
        <v/>
      </c>
      <c r="G21" s="44" t="n"/>
      <c r="H21" s="44" t="n"/>
      <c r="I21" s="53">
        <f>G21+H21</f>
        <v/>
      </c>
      <c r="J21" s="54">
        <f>I21*E21</f>
        <v/>
      </c>
      <c r="K21" s="55">
        <f>H21*E21</f>
        <v/>
      </c>
    </row>
    <row r="22" ht="18" customHeight="1">
      <c r="A22" s="6" t="inlineStr">
        <is>
          <t>D</t>
        </is>
      </c>
      <c r="B22" s="37" t="inlineStr">
        <is>
          <t>ZEMİN KAPLAMA VE SÜPÜRGELİK İŞLERİ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</row>
    <row r="23" ht="28" customHeight="1">
      <c r="A23" s="48" t="inlineStr">
        <is>
          <t>D.1.1</t>
        </is>
      </c>
      <c r="B23" s="49" t="inlineStr">
        <is>
          <t>Z1 — Granül kauçuk karo 1000×1000 mm, 40 mm, EPDM %10 taneli, Shore A 55±5 (EN 14041 · Bfl-s1) — puzzle kilitli kuru derz, çeperde 5 mm genleşme boşluğu</t>
        </is>
      </c>
      <c r="C23" s="50" t="inlineStr">
        <is>
          <t>m²</t>
        </is>
      </c>
      <c r="D23" s="51" t="n">
        <v>31.76</v>
      </c>
      <c r="E23" s="42" t="n"/>
      <c r="F23" s="52">
        <f>D23*E23</f>
        <v/>
      </c>
      <c r="G23" s="44" t="n"/>
      <c r="H23" s="44" t="n"/>
      <c r="I23" s="53">
        <f>G23+H23</f>
        <v/>
      </c>
      <c r="J23" s="54">
        <f>I23*E23</f>
        <v/>
      </c>
      <c r="K23" s="55">
        <f>H23*E23</f>
        <v/>
      </c>
    </row>
    <row r="24" ht="28" customHeight="1">
      <c r="A24" s="39" t="inlineStr">
        <is>
          <t>D.1.2</t>
        </is>
      </c>
      <c r="B24" s="40" t="inlineStr">
        <is>
          <t>Z2 — Granül kauçuk karo 1000×1000 mm, 20 mm, Shore A 60 (EN 14041 · Bfl-s1) — puzzle kilitli kuru derz</t>
        </is>
      </c>
      <c r="C24" s="14" t="inlineStr">
        <is>
          <t>m²</t>
        </is>
      </c>
      <c r="D24" s="41" t="n">
        <v>22.31</v>
      </c>
      <c r="E24" s="42" t="n"/>
      <c r="F24" s="43">
        <f>D24*E24</f>
        <v/>
      </c>
      <c r="G24" s="44" t="n"/>
      <c r="H24" s="44" t="n"/>
      <c r="I24" s="45">
        <f>G24+H24</f>
        <v/>
      </c>
      <c r="J24" s="46">
        <f>I24*E24</f>
        <v/>
      </c>
      <c r="K24" s="47">
        <f>H24*E24</f>
        <v/>
      </c>
    </row>
    <row r="25" ht="28" customHeight="1">
      <c r="A25" s="48" t="inlineStr">
        <is>
          <t>D.1.3</t>
        </is>
      </c>
      <c r="B25" s="49" t="inlineStr">
        <is>
          <t>Z3 — SPC klik LVT 5 mm, 0,55 mm aşınma tabakası (EN ISO 10874 sınıf 33 / AC5) + 2 mm IXPE akustik şilte — çeperde 8 mm genleşme boşluğu</t>
        </is>
      </c>
      <c r="C25" s="50" t="inlineStr">
        <is>
          <t>m²</t>
        </is>
      </c>
      <c r="D25" s="51" t="n">
        <v>32.98</v>
      </c>
      <c r="E25" s="42" t="n"/>
      <c r="F25" s="52">
        <f>D25*E25</f>
        <v/>
      </c>
      <c r="G25" s="44" t="n"/>
      <c r="H25" s="44" t="n"/>
      <c r="I25" s="53">
        <f>G25+H25</f>
        <v/>
      </c>
      <c r="J25" s="54">
        <f>I25*E25</f>
        <v/>
      </c>
      <c r="K25" s="55">
        <f>H25*E25</f>
        <v/>
      </c>
    </row>
    <row r="26" ht="28" customHeight="1">
      <c r="A26" s="39" t="inlineStr">
        <is>
          <t>D.1.4</t>
        </is>
      </c>
      <c r="B26" s="40" t="inlineStr">
        <is>
          <t>Z4 — Porselen seramik 300×300 mm, R11 / B kaymazlık (EN 16165) + C2TE S1 yapıştırıcı</t>
        </is>
      </c>
      <c r="C26" s="14" t="inlineStr">
        <is>
          <t>m²</t>
        </is>
      </c>
      <c r="D26" s="41" t="n">
        <v>6.19</v>
      </c>
      <c r="E26" s="42" t="n"/>
      <c r="F26" s="43">
        <f>D26*E26</f>
        <v/>
      </c>
      <c r="G26" s="44" t="n"/>
      <c r="H26" s="44" t="n"/>
      <c r="I26" s="45">
        <f>G26+H26</f>
        <v/>
      </c>
      <c r="J26" s="46">
        <f>I26*E26</f>
        <v/>
      </c>
      <c r="K26" s="47">
        <f>H26*E26</f>
        <v/>
      </c>
    </row>
    <row r="27" ht="28" customHeight="1">
      <c r="A27" s="48" t="inlineStr">
        <is>
          <t>D.1.5</t>
        </is>
      </c>
      <c r="B27" s="49" t="inlineStr">
        <is>
          <t>Z5 — Porselen seramik 600×600 mm, R10, rektifiye, 2 mm derz (EN 14411 BIa) + C2TE yapıştırıcı</t>
        </is>
      </c>
      <c r="C27" s="50" t="inlineStr">
        <is>
          <t>m²</t>
        </is>
      </c>
      <c r="D27" s="51" t="n">
        <v>10.07</v>
      </c>
      <c r="E27" s="42" t="n"/>
      <c r="F27" s="52">
        <f>D27*E27</f>
        <v/>
      </c>
      <c r="G27" s="44" t="n"/>
      <c r="H27" s="44" t="n"/>
      <c r="I27" s="53">
        <f>G27+H27</f>
        <v/>
      </c>
      <c r="J27" s="54">
        <f>I27*E27</f>
        <v/>
      </c>
      <c r="K27" s="55">
        <f>H27*E27</f>
        <v/>
      </c>
    </row>
    <row r="28" ht="28" customHeight="1">
      <c r="A28" s="39" t="inlineStr">
        <is>
          <t>D.1.6</t>
        </is>
      </c>
      <c r="B28" s="40" t="inlineStr">
        <is>
          <t>Kauçuk titreşim yalıtım matı 10 mm (SBR granül 700 kg/m³) — duvara 50 mm yukarı dönüşlü yüzer döşeme</t>
        </is>
      </c>
      <c r="C28" s="14" t="inlineStr">
        <is>
          <t>m²</t>
        </is>
      </c>
      <c r="D28" s="41" t="n">
        <v>31.76</v>
      </c>
      <c r="E28" s="42" t="n"/>
      <c r="F28" s="43">
        <f>D28*E28</f>
        <v/>
      </c>
      <c r="G28" s="44" t="n"/>
      <c r="H28" s="44" t="n"/>
      <c r="I28" s="45">
        <f>G28+H28</f>
        <v/>
      </c>
      <c r="J28" s="46">
        <f>I28*E28</f>
        <v/>
      </c>
      <c r="K28" s="47">
        <f>H28*E28</f>
        <v/>
      </c>
    </row>
    <row r="29" ht="28" customHeight="1">
      <c r="A29" s="48" t="inlineStr">
        <is>
          <t>D.2.1</t>
        </is>
      </c>
      <c r="B29" s="49" t="inlineStr">
        <is>
          <t>Kauçuk süpürgelik 100×8 mm — zemin kaplamasıyla aynı malzeme, üst kenarı 45° pahlı</t>
        </is>
      </c>
      <c r="C29" s="50" t="inlineStr">
        <is>
          <t>mt</t>
        </is>
      </c>
      <c r="D29" s="51" t="n">
        <v>40.62</v>
      </c>
      <c r="E29" s="42" t="n"/>
      <c r="F29" s="52">
        <f>D29*E29</f>
        <v/>
      </c>
      <c r="G29" s="44" t="n"/>
      <c r="H29" s="44" t="n"/>
      <c r="I29" s="53">
        <f>G29+H29</f>
        <v/>
      </c>
      <c r="J29" s="54">
        <f>I29*E29</f>
        <v/>
      </c>
      <c r="K29" s="55">
        <f>H29*E29</f>
        <v/>
      </c>
    </row>
    <row r="30" ht="28" customHeight="1">
      <c r="A30" s="39" t="inlineStr">
        <is>
          <t>D.2.2</t>
        </is>
      </c>
      <c r="B30" s="40" t="inlineStr">
        <is>
          <t>MDF lake süpürgelik 80×16 mm — RAL 9003, akrilik mastik ile duvara yalanır</t>
        </is>
      </c>
      <c r="C30" s="14" t="inlineStr">
        <is>
          <t>mt</t>
        </is>
      </c>
      <c r="D30" s="41" t="n">
        <v>23.65</v>
      </c>
      <c r="E30" s="42" t="n"/>
      <c r="F30" s="43">
        <f>D30*E30</f>
        <v/>
      </c>
      <c r="G30" s="44" t="n"/>
      <c r="H30" s="44" t="n"/>
      <c r="I30" s="45">
        <f>G30+H30</f>
        <v/>
      </c>
      <c r="J30" s="46">
        <f>I30*E30</f>
        <v/>
      </c>
      <c r="K30" s="47">
        <f>H30*E30</f>
        <v/>
      </c>
    </row>
    <row r="31" ht="28" customHeight="1">
      <c r="A31" s="48" t="inlineStr">
        <is>
          <t>D.2.4</t>
        </is>
      </c>
      <c r="B31" s="49" t="inlineStr">
        <is>
          <t>Porselen süpürgelik 80 mm — zemin karosundan kesme, rektifiye kenar</t>
        </is>
      </c>
      <c r="C31" s="50" t="inlineStr">
        <is>
          <t>mt</t>
        </is>
      </c>
      <c r="D31" s="51" t="n">
        <v>16.17</v>
      </c>
      <c r="E31" s="42" t="n"/>
      <c r="F31" s="52">
        <f>D31*E31</f>
        <v/>
      </c>
      <c r="G31" s="44" t="n"/>
      <c r="H31" s="44" t="n"/>
      <c r="I31" s="53">
        <f>G31+H31</f>
        <v/>
      </c>
      <c r="J31" s="54">
        <f>I31*E31</f>
        <v/>
      </c>
      <c r="K31" s="55">
        <f>H31*E31</f>
        <v/>
      </c>
    </row>
    <row r="32" ht="18" customHeight="1">
      <c r="A32" s="6" t="inlineStr">
        <is>
          <t>E</t>
        </is>
      </c>
      <c r="B32" s="37" t="inlineStr">
        <is>
          <t>SERAMİK VE SU YALITIMI İŞLERİ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</row>
    <row r="33" ht="28" customHeight="1">
      <c r="A33" s="48" t="inlineStr">
        <is>
          <t>E.1.1</t>
        </is>
      </c>
      <c r="B33" s="49" t="inlineStr">
        <is>
          <t>D5 duvar seramiği 300×600 mm, rektifiye — duş kabininde tavana kadar</t>
        </is>
      </c>
      <c r="C33" s="50" t="inlineStr">
        <is>
          <t>m²</t>
        </is>
      </c>
      <c r="D33" s="51" t="n">
        <v>21.68</v>
      </c>
      <c r="E33" s="42" t="n"/>
      <c r="F33" s="52">
        <f>D33*E33</f>
        <v/>
      </c>
      <c r="G33" s="44" t="n"/>
      <c r="H33" s="44" t="n"/>
      <c r="I33" s="53">
        <f>G33+H33</f>
        <v/>
      </c>
      <c r="J33" s="54">
        <f>I33*E33</f>
        <v/>
      </c>
      <c r="K33" s="55">
        <f>H33*E33</f>
        <v/>
      </c>
    </row>
    <row r="34" ht="28" customHeight="1">
      <c r="A34" s="39" t="inlineStr">
        <is>
          <t>E.1.2</t>
        </is>
      </c>
      <c r="B34" s="40" t="inlineStr">
        <is>
          <t>D5 duvar seramiği 300×600 mm — WC'de h = 1,60 m</t>
        </is>
      </c>
      <c r="C34" s="14" t="inlineStr">
        <is>
          <t>m²</t>
        </is>
      </c>
      <c r="D34" s="41" t="n">
        <v>14.46</v>
      </c>
      <c r="E34" s="42" t="n"/>
      <c r="F34" s="43">
        <f>D34*E34</f>
        <v/>
      </c>
      <c r="G34" s="44" t="n"/>
      <c r="H34" s="44" t="n"/>
      <c r="I34" s="45">
        <f>G34+H34</f>
        <v/>
      </c>
      <c r="J34" s="46">
        <f>I34*E34</f>
        <v/>
      </c>
      <c r="K34" s="47">
        <f>H34*E34</f>
        <v/>
      </c>
    </row>
    <row r="35" ht="28" customHeight="1">
      <c r="A35" s="48" t="inlineStr">
        <is>
          <t>E.1.3</t>
        </is>
      </c>
      <c r="B35" s="49" t="inlineStr">
        <is>
          <t>Çimento esaslı 2 bileşenli su yalıtımı, 2 kat (EN 14891) — zemin</t>
        </is>
      </c>
      <c r="C35" s="50" t="inlineStr">
        <is>
          <t>m²</t>
        </is>
      </c>
      <c r="D35" s="51" t="n">
        <v>6.19</v>
      </c>
      <c r="E35" s="42" t="n"/>
      <c r="F35" s="52">
        <f>D35*E35</f>
        <v/>
      </c>
      <c r="G35" s="44" t="n"/>
      <c r="H35" s="44" t="n"/>
      <c r="I35" s="53">
        <f>G35+H35</f>
        <v/>
      </c>
      <c r="J35" s="54">
        <f>I35*E35</f>
        <v/>
      </c>
      <c r="K35" s="55">
        <f>H35*E35</f>
        <v/>
      </c>
    </row>
    <row r="36" ht="28" customHeight="1">
      <c r="A36" s="39" t="inlineStr">
        <is>
          <t>E.1.4</t>
        </is>
      </c>
      <c r="B36" s="40" t="inlineStr">
        <is>
          <t>Çimento esaslı su yalıtımı, 2 kat — duvarda dönüş (duşta 2,00 m, WC'de 0,30 m)</t>
        </is>
      </c>
      <c r="C36" s="14" t="inlineStr">
        <is>
          <t>m²</t>
        </is>
      </c>
      <c r="D36" s="41" t="n">
        <v>23.47</v>
      </c>
      <c r="E36" s="42" t="n"/>
      <c r="F36" s="43">
        <f>D36*E36</f>
        <v/>
      </c>
      <c r="G36" s="44" t="n"/>
      <c r="H36" s="44" t="n"/>
      <c r="I36" s="45">
        <f>G36+H36</f>
        <v/>
      </c>
      <c r="J36" s="46">
        <f>I36*E36</f>
        <v/>
      </c>
      <c r="K36" s="47">
        <f>H36*E36</f>
        <v/>
      </c>
    </row>
    <row r="37" ht="28" customHeight="1">
      <c r="A37" s="48" t="inlineStr">
        <is>
          <t>E.1.5</t>
        </is>
      </c>
      <c r="B37" s="49" t="inlineStr">
        <is>
          <t>Elastik su yalıtım bandı 120 mm — zemin-duvar birleşimi ve köşeler</t>
        </is>
      </c>
      <c r="C37" s="50" t="inlineStr">
        <is>
          <t>mt</t>
        </is>
      </c>
      <c r="D37" s="51" t="n">
        <v>52.61</v>
      </c>
      <c r="E37" s="42" t="n"/>
      <c r="F37" s="52">
        <f>D37*E37</f>
        <v/>
      </c>
      <c r="G37" s="44" t="n"/>
      <c r="H37" s="44" t="n"/>
      <c r="I37" s="53">
        <f>G37+H37</f>
        <v/>
      </c>
      <c r="J37" s="54">
        <f>I37*E37</f>
        <v/>
      </c>
      <c r="K37" s="55">
        <f>H37*E37</f>
        <v/>
      </c>
    </row>
    <row r="38" ht="18" customHeight="1">
      <c r="A38" s="6" t="inlineStr">
        <is>
          <t>F</t>
        </is>
      </c>
      <c r="B38" s="37" t="inlineStr">
        <is>
          <t>ASMA TAVAN VE BOYA İŞLERİ</t>
        </is>
      </c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</row>
    <row r="39" ht="28" customHeight="1">
      <c r="A39" s="48" t="inlineStr">
        <is>
          <t>F.1.1</t>
        </is>
      </c>
      <c r="B39" s="49" t="inlineStr">
        <is>
          <t>T2 Alçıpan asma tavan — kuru hacim — kot +2,75</t>
        </is>
      </c>
      <c r="C39" s="50" t="inlineStr">
        <is>
          <t>m²</t>
        </is>
      </c>
      <c r="D39" s="51" t="n">
        <v>32.98</v>
      </c>
      <c r="E39" s="42" t="n"/>
      <c r="F39" s="52">
        <f>D39*E39</f>
        <v/>
      </c>
      <c r="G39" s="44" t="n"/>
      <c r="H39" s="44" t="n"/>
      <c r="I39" s="53">
        <f>G39+H39</f>
        <v/>
      </c>
      <c r="J39" s="54">
        <f>I39*E39</f>
        <v/>
      </c>
      <c r="K39" s="55">
        <f>H39*E39</f>
        <v/>
      </c>
    </row>
    <row r="40" ht="28" customHeight="1">
      <c r="A40" s="39" t="inlineStr">
        <is>
          <t>F.1.2</t>
        </is>
      </c>
      <c r="B40" s="40" t="inlineStr">
        <is>
          <t>T4 Alçıpan asma tavan — soyunma — kot +2,60</t>
        </is>
      </c>
      <c r="C40" s="14" t="inlineStr">
        <is>
          <t>m²</t>
        </is>
      </c>
      <c r="D40" s="41" t="n">
        <v>10.07</v>
      </c>
      <c r="E40" s="42" t="n"/>
      <c r="F40" s="43">
        <f>D40*E40</f>
        <v/>
      </c>
      <c r="G40" s="44" t="n"/>
      <c r="H40" s="44" t="n"/>
      <c r="I40" s="45">
        <f>G40+H40</f>
        <v/>
      </c>
      <c r="J40" s="46">
        <f>I40*E40</f>
        <v/>
      </c>
      <c r="K40" s="47">
        <f>H40*E40</f>
        <v/>
      </c>
    </row>
    <row r="41" ht="28" customHeight="1">
      <c r="A41" s="48" t="inlineStr">
        <is>
          <t>F.1.3</t>
        </is>
      </c>
      <c r="B41" s="49" t="inlineStr">
        <is>
          <t>T3 Alçıpan asma tavan — ıslak hacim — kot +2,40</t>
        </is>
      </c>
      <c r="C41" s="50" t="inlineStr">
        <is>
          <t>m²</t>
        </is>
      </c>
      <c r="D41" s="51" t="n">
        <v>6.19</v>
      </c>
      <c r="E41" s="42" t="n"/>
      <c r="F41" s="52">
        <f>D41*E41</f>
        <v/>
      </c>
      <c r="G41" s="44" t="n"/>
      <c r="H41" s="44" t="n"/>
      <c r="I41" s="53">
        <f>G41+H41</f>
        <v/>
      </c>
      <c r="J41" s="54">
        <f>I41*E41</f>
        <v/>
      </c>
      <c r="K41" s="55">
        <f>H41*E41</f>
        <v/>
      </c>
    </row>
    <row r="42" ht="28" customHeight="1">
      <c r="A42" s="39" t="inlineStr">
        <is>
          <t>F.1.4</t>
        </is>
      </c>
      <c r="B42" s="40" t="inlineStr">
        <is>
          <t>T1 açık tavan — döşeme altı raspa, temizlik ve 2 kat siyah akrilik boya (kanal ve askılar dâhil)</t>
        </is>
      </c>
      <c r="C42" s="14" t="inlineStr">
        <is>
          <t>m²</t>
        </is>
      </c>
      <c r="D42" s="41" t="n">
        <v>54.07</v>
      </c>
      <c r="E42" s="42" t="n"/>
      <c r="F42" s="43">
        <f>D42*E42</f>
        <v/>
      </c>
      <c r="G42" s="44" t="n"/>
      <c r="H42" s="44" t="n"/>
      <c r="I42" s="45">
        <f>G42+H42</f>
        <v/>
      </c>
      <c r="J42" s="46">
        <f>I42*E42</f>
        <v/>
      </c>
      <c r="K42" s="47">
        <f>H42*E42</f>
        <v/>
      </c>
    </row>
    <row r="43" ht="28" customHeight="1">
      <c r="A43" s="48" t="inlineStr">
        <is>
          <t>F.1.5</t>
        </is>
      </c>
      <c r="B43" s="49" t="inlineStr">
        <is>
          <t>Asma tavan revizyon kapağı 300×300 mm, menteşeli</t>
        </is>
      </c>
      <c r="C43" s="50" t="inlineStr">
        <is>
          <t>ad</t>
        </is>
      </c>
      <c r="D43" s="51" t="n">
        <v>4</v>
      </c>
      <c r="E43" s="42" t="n"/>
      <c r="F43" s="52">
        <f>D43*E43</f>
        <v/>
      </c>
      <c r="G43" s="44" t="n"/>
      <c r="H43" s="44" t="n"/>
      <c r="I43" s="53">
        <f>G43+H43</f>
        <v/>
      </c>
      <c r="J43" s="54">
        <f>I43*E43</f>
        <v/>
      </c>
      <c r="K43" s="55">
        <f>H43*E43</f>
        <v/>
      </c>
    </row>
    <row r="44" ht="28" customHeight="1">
      <c r="A44" s="39" t="inlineStr">
        <is>
          <t>F.1.6</t>
        </is>
      </c>
      <c r="B44" s="40" t="inlineStr">
        <is>
          <t>Akustik taşyünü asma baffle 1200×600×50 mm (αw ≈ 0,90)</t>
        </is>
      </c>
      <c r="C44" s="14" t="inlineStr">
        <is>
          <t>ad</t>
        </is>
      </c>
      <c r="D44" s="41" t="n">
        <v>12</v>
      </c>
      <c r="E44" s="42" t="n"/>
      <c r="F44" s="43">
        <f>D44*E44</f>
        <v/>
      </c>
      <c r="G44" s="44" t="n"/>
      <c r="H44" s="44" t="n"/>
      <c r="I44" s="45">
        <f>G44+H44</f>
        <v/>
      </c>
      <c r="J44" s="46">
        <f>I44*E44</f>
        <v/>
      </c>
      <c r="K44" s="47">
        <f>H44*E44</f>
        <v/>
      </c>
    </row>
    <row r="45" ht="28" customHeight="1">
      <c r="A45" s="48" t="inlineStr">
        <is>
          <t>F.2.1</t>
        </is>
      </c>
      <c r="B45" s="49" t="inlineStr">
        <is>
          <t>Saten alçı perdah 2 kat + akrilik astar + su bazlı silikonlu mat iç cephe boyası 2 kat (sınıf 1 yıkanabilir)</t>
        </is>
      </c>
      <c r="C45" s="50" t="inlineStr">
        <is>
          <t>m²</t>
        </is>
      </c>
      <c r="D45" s="51" t="n">
        <v>286.08</v>
      </c>
      <c r="E45" s="42" t="n"/>
      <c r="F45" s="52">
        <f>D45*E45</f>
        <v/>
      </c>
      <c r="G45" s="44" t="n"/>
      <c r="H45" s="44" t="n"/>
      <c r="I45" s="53">
        <f>G45+H45</f>
        <v/>
      </c>
      <c r="J45" s="54">
        <f>I45*E45</f>
        <v/>
      </c>
      <c r="K45" s="55">
        <f>H45*E45</f>
        <v/>
      </c>
    </row>
    <row r="46" ht="28" customHeight="1">
      <c r="A46" s="39" t="inlineStr">
        <is>
          <t>F.2.2</t>
        </is>
      </c>
      <c r="B46" s="40" t="inlineStr">
        <is>
          <t>Su bazlı küf önleyici yarı mat banyo boyası, 2 kat — seramik üstü kalan yüzey</t>
        </is>
      </c>
      <c r="C46" s="14" t="inlineStr">
        <is>
          <t>m²</t>
        </is>
      </c>
      <c r="D46" s="41" t="n">
        <v>8.35</v>
      </c>
      <c r="E46" s="42" t="n"/>
      <c r="F46" s="43">
        <f>D46*E46</f>
        <v/>
      </c>
      <c r="G46" s="44" t="n"/>
      <c r="H46" s="44" t="n"/>
      <c r="I46" s="45">
        <f>G46+H46</f>
        <v/>
      </c>
      <c r="J46" s="46">
        <f>I46*E46</f>
        <v/>
      </c>
      <c r="K46" s="47">
        <f>H46*E46</f>
        <v/>
      </c>
    </row>
    <row r="47" ht="28" customHeight="1">
      <c r="A47" s="48" t="inlineStr">
        <is>
          <t>F.2.3</t>
        </is>
      </c>
      <c r="B47" s="49" t="inlineStr">
        <is>
          <t>Asma tavan alçıpan yüzeyi — derz bandı + saten alçı + astar + 2 kat mat boya</t>
        </is>
      </c>
      <c r="C47" s="50" t="inlineStr">
        <is>
          <t>m²</t>
        </is>
      </c>
      <c r="D47" s="51" t="n">
        <v>43.05</v>
      </c>
      <c r="E47" s="42" t="n"/>
      <c r="F47" s="52">
        <f>D47*E47</f>
        <v/>
      </c>
      <c r="G47" s="44" t="n"/>
      <c r="H47" s="44" t="n"/>
      <c r="I47" s="53">
        <f>G47+H47</f>
        <v/>
      </c>
      <c r="J47" s="54">
        <f>I47*E47</f>
        <v/>
      </c>
      <c r="K47" s="55">
        <f>H47*E47</f>
        <v/>
      </c>
    </row>
    <row r="48" ht="18" customHeight="1">
      <c r="A48" s="6" t="inlineStr">
        <is>
          <t>G</t>
        </is>
      </c>
      <c r="B48" s="37" t="inlineStr">
        <is>
          <t>DOĞRAMA, CAM VE AYNA İŞLERİ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 ht="28" customHeight="1">
      <c r="A49" s="48" t="inlineStr">
        <is>
          <t>G.1.1</t>
        </is>
      </c>
      <c r="B49" s="49" t="inlineStr">
        <is>
          <t>K01 — Çift kanat cam kapı (2×800); Mevcut alüminyum doğrama + 8 mm temperli cam (1600×2400 mm)</t>
        </is>
      </c>
      <c r="C49" s="50" t="inlineStr">
        <is>
          <t>ad</t>
        </is>
      </c>
      <c r="D49" s="51" t="n">
        <v>1</v>
      </c>
      <c r="E49" s="42" t="n"/>
      <c r="F49" s="52">
        <f>D49*E49</f>
        <v/>
      </c>
      <c r="G49" s="44" t="n"/>
      <c r="H49" s="44" t="n"/>
      <c r="I49" s="53">
        <f>G49+H49</f>
        <v/>
      </c>
      <c r="J49" s="54">
        <f>I49*E49</f>
        <v/>
      </c>
      <c r="K49" s="55">
        <f>H49*E49</f>
        <v/>
      </c>
    </row>
    <row r="50" ht="28" customHeight="1">
      <c r="A50" s="39" t="inlineStr">
        <is>
          <t>G.1.2</t>
        </is>
      </c>
      <c r="B50" s="40" t="inlineStr">
        <is>
          <t>K02 — Tek kanat acil çıkış; Alüminyum + 8 mm temperli cam (1000×2100 mm)</t>
        </is>
      </c>
      <c r="C50" s="14" t="inlineStr">
        <is>
          <t>ad</t>
        </is>
      </c>
      <c r="D50" s="41" t="n">
        <v>1</v>
      </c>
      <c r="E50" s="42" t="n"/>
      <c r="F50" s="43">
        <f>D50*E50</f>
        <v/>
      </c>
      <c r="G50" s="44" t="n"/>
      <c r="H50" s="44" t="n"/>
      <c r="I50" s="45">
        <f>G50+H50</f>
        <v/>
      </c>
      <c r="J50" s="46">
        <f>I50*E50</f>
        <v/>
      </c>
      <c r="K50" s="47">
        <f>H50*E50</f>
        <v/>
      </c>
    </row>
    <row r="51" ht="28" customHeight="1">
      <c r="A51" s="48" t="inlineStr">
        <is>
          <t>G.1.3</t>
        </is>
      </c>
      <c r="B51" s="49" t="inlineStr">
        <is>
          <t>K03 — Tek kanat panel kapı; MDF laminat kaplı kanat, WPC kasa ve pervaz (900×2100 mm)</t>
        </is>
      </c>
      <c r="C51" s="50" t="inlineStr">
        <is>
          <t>ad</t>
        </is>
      </c>
      <c r="D51" s="51" t="n">
        <v>1</v>
      </c>
      <c r="E51" s="42" t="n"/>
      <c r="F51" s="52">
        <f>D51*E51</f>
        <v/>
      </c>
      <c r="G51" s="44" t="n"/>
      <c r="H51" s="44" t="n"/>
      <c r="I51" s="53">
        <f>G51+H51</f>
        <v/>
      </c>
      <c r="J51" s="54">
        <f>I51*E51</f>
        <v/>
      </c>
      <c r="K51" s="55">
        <f>H51*E51</f>
        <v/>
      </c>
    </row>
    <row r="52" ht="28" customHeight="1">
      <c r="A52" s="39" t="inlineStr">
        <is>
          <t>G.1.4</t>
        </is>
      </c>
      <c r="B52" s="40" t="inlineStr">
        <is>
          <t>K04 — Tek kanat panel kapı; MDF laminat kaplı kanat, WPC kasa ve pervaz (900×2100 mm)</t>
        </is>
      </c>
      <c r="C52" s="14" t="inlineStr">
        <is>
          <t>ad</t>
        </is>
      </c>
      <c r="D52" s="41" t="n">
        <v>1</v>
      </c>
      <c r="E52" s="42" t="n"/>
      <c r="F52" s="43">
        <f>D52*E52</f>
        <v/>
      </c>
      <c r="G52" s="44" t="n"/>
      <c r="H52" s="44" t="n"/>
      <c r="I52" s="45">
        <f>G52+H52</f>
        <v/>
      </c>
      <c r="J52" s="46">
        <f>I52*E52</f>
        <v/>
      </c>
      <c r="K52" s="47">
        <f>H52*E52</f>
        <v/>
      </c>
    </row>
    <row r="53" ht="28" customHeight="1">
      <c r="A53" s="48" t="inlineStr">
        <is>
          <t>G.1.5</t>
        </is>
      </c>
      <c r="B53" s="49" t="inlineStr">
        <is>
          <t>K05 — Tek kanat WC kapısı; Tam WPC (su geçirmez) kanat ve kasa (700×2000 mm)</t>
        </is>
      </c>
      <c r="C53" s="50" t="inlineStr">
        <is>
          <t>ad</t>
        </is>
      </c>
      <c r="D53" s="51" t="n">
        <v>1</v>
      </c>
      <c r="E53" s="42" t="n"/>
      <c r="F53" s="52">
        <f>D53*E53</f>
        <v/>
      </c>
      <c r="G53" s="44" t="n"/>
      <c r="H53" s="44" t="n"/>
      <c r="I53" s="53">
        <f>G53+H53</f>
        <v/>
      </c>
      <c r="J53" s="54">
        <f>I53*E53</f>
        <v/>
      </c>
      <c r="K53" s="55">
        <f>H53*E53</f>
        <v/>
      </c>
    </row>
    <row r="54" ht="28" customHeight="1">
      <c r="A54" s="39" t="inlineStr">
        <is>
          <t>G.1.6</t>
        </is>
      </c>
      <c r="B54" s="40" t="inlineStr">
        <is>
          <t>K06 — Tek kanat WC kapısı; Tam WPC (su geçirmez) kanat ve kasa (700×2000 mm)</t>
        </is>
      </c>
      <c r="C54" s="14" t="inlineStr">
        <is>
          <t>ad</t>
        </is>
      </c>
      <c r="D54" s="41" t="n">
        <v>1</v>
      </c>
      <c r="E54" s="42" t="n"/>
      <c r="F54" s="43">
        <f>D54*E54</f>
        <v/>
      </c>
      <c r="G54" s="44" t="n"/>
      <c r="H54" s="44" t="n"/>
      <c r="I54" s="45">
        <f>G54+H54</f>
        <v/>
      </c>
      <c r="J54" s="46">
        <f>I54*E54</f>
        <v/>
      </c>
      <c r="K54" s="47">
        <f>H54*E54</f>
        <v/>
      </c>
    </row>
    <row r="55" ht="28" customHeight="1">
      <c r="A55" s="48" t="inlineStr">
        <is>
          <t>G.1.7</t>
        </is>
      </c>
      <c r="B55" s="49" t="inlineStr">
        <is>
          <t>K07 — Duş kapağı; 6 mm temperli cam, alüminyum profil (700×1950 mm)</t>
        </is>
      </c>
      <c r="C55" s="50" t="inlineStr">
        <is>
          <t>ad</t>
        </is>
      </c>
      <c r="D55" s="51" t="n">
        <v>1</v>
      </c>
      <c r="E55" s="42" t="n"/>
      <c r="F55" s="52">
        <f>D55*E55</f>
        <v/>
      </c>
      <c r="G55" s="44" t="n"/>
      <c r="H55" s="44" t="n"/>
      <c r="I55" s="53">
        <f>G55+H55</f>
        <v/>
      </c>
      <c r="J55" s="54">
        <f>I55*E55</f>
        <v/>
      </c>
      <c r="K55" s="55">
        <f>H55*E55</f>
        <v/>
      </c>
    </row>
    <row r="56" ht="28" customHeight="1">
      <c r="A56" s="39" t="inlineStr">
        <is>
          <t>G.1.8</t>
        </is>
      </c>
      <c r="B56" s="40" t="inlineStr">
        <is>
          <t>K08 — Duş kapağı; 6 mm temperli cam, alüminyum profil (700×1950 mm)</t>
        </is>
      </c>
      <c r="C56" s="14" t="inlineStr">
        <is>
          <t>ad</t>
        </is>
      </c>
      <c r="D56" s="41" t="n">
        <v>1</v>
      </c>
      <c r="E56" s="42" t="n"/>
      <c r="F56" s="43">
        <f>D56*E56</f>
        <v/>
      </c>
      <c r="G56" s="44" t="n"/>
      <c r="H56" s="44" t="n"/>
      <c r="I56" s="45">
        <f>G56+H56</f>
        <v/>
      </c>
      <c r="J56" s="46">
        <f>I56*E56</f>
        <v/>
      </c>
      <c r="K56" s="47">
        <f>H56*E56</f>
        <v/>
      </c>
    </row>
    <row r="57" ht="28" customHeight="1">
      <c r="A57" s="48" t="inlineStr">
        <is>
          <t>G.1.9</t>
        </is>
      </c>
      <c r="B57" s="49" t="inlineStr">
        <is>
          <t>K09 — Tek kanat dolap kapağı; MDF laminat, banko arkası niş (700×2000 mm)</t>
        </is>
      </c>
      <c r="C57" s="50" t="inlineStr">
        <is>
          <t>ad</t>
        </is>
      </c>
      <c r="D57" s="51" t="n">
        <v>1</v>
      </c>
      <c r="E57" s="42" t="n"/>
      <c r="F57" s="52">
        <f>D57*E57</f>
        <v/>
      </c>
      <c r="G57" s="44" t="n"/>
      <c r="H57" s="44" t="n"/>
      <c r="I57" s="53">
        <f>G57+H57</f>
        <v/>
      </c>
      <c r="J57" s="54">
        <f>I57*E57</f>
        <v/>
      </c>
      <c r="K57" s="55">
        <f>H57*E57</f>
        <v/>
      </c>
    </row>
    <row r="58" ht="28" customHeight="1">
      <c r="A58" s="39" t="inlineStr">
        <is>
          <t>G.2.1</t>
        </is>
      </c>
      <c r="B58" s="40" t="inlineStr">
        <is>
          <t>D6 ayna duvarı — 18 mm su kontraplağı altlık + 6 mm güvenlik filmli ayna, alt/üst alüminyum mekanik emniyet profilli</t>
        </is>
      </c>
      <c r="C58" s="14" t="inlineStr">
        <is>
          <t>m²</t>
        </is>
      </c>
      <c r="D58" s="41" t="n">
        <v>9.6</v>
      </c>
      <c r="E58" s="42" t="n"/>
      <c r="F58" s="43">
        <f>D58*E58</f>
        <v/>
      </c>
      <c r="G58" s="44" t="n"/>
      <c r="H58" s="44" t="n"/>
      <c r="I58" s="45">
        <f>G58+H58</f>
        <v/>
      </c>
      <c r="J58" s="46">
        <f>I58*E58</f>
        <v/>
      </c>
      <c r="K58" s="47">
        <f>H58*E58</f>
        <v/>
      </c>
    </row>
    <row r="59" ht="28" customHeight="1">
      <c r="A59" s="48" t="inlineStr">
        <is>
          <t>G.2.2</t>
        </is>
      </c>
      <c r="B59" s="49" t="inlineStr">
        <is>
          <t>Boy aynası 60×110 cm, güvenlik filmli</t>
        </is>
      </c>
      <c r="C59" s="50" t="inlineStr">
        <is>
          <t>ad</t>
        </is>
      </c>
      <c r="D59" s="51" t="n">
        <v>2</v>
      </c>
      <c r="E59" s="42" t="n"/>
      <c r="F59" s="52">
        <f>D59*E59</f>
        <v/>
      </c>
      <c r="G59" s="44" t="n"/>
      <c r="H59" s="44" t="n"/>
      <c r="I59" s="53">
        <f>G59+H59</f>
        <v/>
      </c>
      <c r="J59" s="54">
        <f>I59*E59</f>
        <v/>
      </c>
      <c r="K59" s="55">
        <f>H59*E59</f>
        <v/>
      </c>
    </row>
    <row r="60" ht="28" customHeight="1">
      <c r="A60" s="39" t="inlineStr">
        <is>
          <t>G.2.3</t>
        </is>
      </c>
      <c r="B60" s="40" t="inlineStr">
        <is>
          <t>Cephe vitrininde buzlu folyo (alt 1,20 m) + güneş kontrol filmi</t>
        </is>
      </c>
      <c r="C60" s="14" t="inlineStr">
        <is>
          <t>m²</t>
        </is>
      </c>
      <c r="D60" s="41" t="n">
        <v>18.34</v>
      </c>
      <c r="E60" s="42" t="n"/>
      <c r="F60" s="43">
        <f>D60*E60</f>
        <v/>
      </c>
      <c r="G60" s="44" t="n"/>
      <c r="H60" s="44" t="n"/>
      <c r="I60" s="45">
        <f>G60+H60</f>
        <v/>
      </c>
      <c r="J60" s="46">
        <f>I60*E60</f>
        <v/>
      </c>
      <c r="K60" s="47">
        <f>H60*E60</f>
        <v/>
      </c>
    </row>
    <row r="61" ht="18" customHeight="1">
      <c r="A61" s="6" t="inlineStr">
        <is>
          <t>H</t>
        </is>
      </c>
      <c r="B61" s="37" t="inlineStr">
        <is>
          <t>SABİT MOBİLYA İŞLERİ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</row>
    <row r="62" ht="28" customHeight="1">
      <c r="A62" s="39" t="inlineStr">
        <is>
          <t>H.1.1</t>
        </is>
      </c>
      <c r="B62" s="40" t="inlineStr">
        <is>
          <t>Resepsiyon bankosu 120×60×110 cm — lake MDF gövde + kompakt lamine tezgâh, gömme kuvvet ve veri kutulu</t>
        </is>
      </c>
      <c r="C62" s="14" t="inlineStr">
        <is>
          <t>ad</t>
        </is>
      </c>
      <c r="D62" s="41" t="n">
        <v>1</v>
      </c>
      <c r="E62" s="42" t="n"/>
      <c r="F62" s="43">
        <f>D62*E62</f>
        <v/>
      </c>
      <c r="G62" s="44" t="n"/>
      <c r="H62" s="44" t="n"/>
      <c r="I62" s="45">
        <f>G62+H62</f>
        <v/>
      </c>
      <c r="J62" s="46">
        <f>I62*E62</f>
        <v/>
      </c>
      <c r="K62" s="47">
        <f>H62*E62</f>
        <v/>
      </c>
    </row>
    <row r="63" ht="28" customHeight="1">
      <c r="A63" s="48" t="inlineStr">
        <is>
          <t>H.1.2</t>
        </is>
      </c>
      <c r="B63" s="49" t="inlineStr">
        <is>
          <t>8 gözlü soyunma dolabı 160×45×180 cm — laminat, havalandırma delikli, kilitli</t>
        </is>
      </c>
      <c r="C63" s="50" t="inlineStr">
        <is>
          <t>ad</t>
        </is>
      </c>
      <c r="D63" s="51" t="n">
        <v>2</v>
      </c>
      <c r="E63" s="42" t="n"/>
      <c r="F63" s="52">
        <f>D63*E63</f>
        <v/>
      </c>
      <c r="G63" s="44" t="n"/>
      <c r="H63" s="44" t="n"/>
      <c r="I63" s="53">
        <f>G63+H63</f>
        <v/>
      </c>
      <c r="J63" s="54">
        <f>I63*E63</f>
        <v/>
      </c>
      <c r="K63" s="55">
        <f>H63*E63</f>
        <v/>
      </c>
    </row>
    <row r="64" ht="28" customHeight="1">
      <c r="A64" s="39" t="inlineStr">
        <is>
          <t>H.1.3</t>
        </is>
      </c>
      <c r="B64" s="40" t="inlineStr">
        <is>
          <t>Soyunma bankı 160×35 cm — ahşap latalı, duvara konsol bağlantılı</t>
        </is>
      </c>
      <c r="C64" s="14" t="inlineStr">
        <is>
          <t>ad</t>
        </is>
      </c>
      <c r="D64" s="41" t="n">
        <v>2</v>
      </c>
      <c r="E64" s="42" t="n"/>
      <c r="F64" s="43">
        <f>D64*E64</f>
        <v/>
      </c>
      <c r="G64" s="44" t="n"/>
      <c r="H64" s="44" t="n"/>
      <c r="I64" s="45">
        <f>G64+H64</f>
        <v/>
      </c>
      <c r="J64" s="46">
        <f>I64*E64</f>
        <v/>
      </c>
      <c r="K64" s="47">
        <f>H64*E64</f>
        <v/>
      </c>
    </row>
    <row r="65" ht="28" customHeight="1">
      <c r="A65" s="48" t="inlineStr">
        <is>
          <t>H.1.4</t>
        </is>
      </c>
      <c r="B65" s="49" t="inlineStr">
        <is>
          <t>Paslanmaz askılık, 5 kancalı</t>
        </is>
      </c>
      <c r="C65" s="50" t="inlineStr">
        <is>
          <t>ad</t>
        </is>
      </c>
      <c r="D65" s="51" t="n">
        <v>2</v>
      </c>
      <c r="E65" s="42" t="n"/>
      <c r="F65" s="52">
        <f>D65*E65</f>
        <v/>
      </c>
      <c r="G65" s="44" t="n"/>
      <c r="H65" s="44" t="n"/>
      <c r="I65" s="53">
        <f>G65+H65</f>
        <v/>
      </c>
      <c r="J65" s="54">
        <f>I65*E65</f>
        <v/>
      </c>
      <c r="K65" s="55">
        <f>H65*E65</f>
        <v/>
      </c>
    </row>
    <row r="66" ht="28" customHeight="1">
      <c r="A66" s="39" t="inlineStr">
        <is>
          <t>H.1.5</t>
        </is>
      </c>
      <c r="B66" s="40" t="inlineStr">
        <is>
          <t>Depo / teknik dolap — banko arkası niş, havalandırma menfezli</t>
        </is>
      </c>
      <c r="C66" s="14" t="inlineStr">
        <is>
          <t>ad</t>
        </is>
      </c>
      <c r="D66" s="41" t="n">
        <v>1</v>
      </c>
      <c r="E66" s="42" t="n"/>
      <c r="F66" s="43">
        <f>D66*E66</f>
        <v/>
      </c>
      <c r="G66" s="44" t="n"/>
      <c r="H66" s="44" t="n"/>
      <c r="I66" s="45">
        <f>G66+H66</f>
        <v/>
      </c>
      <c r="J66" s="46">
        <f>I66*E66</f>
        <v/>
      </c>
      <c r="K66" s="47">
        <f>H66*E66</f>
        <v/>
      </c>
    </row>
    <row r="67" ht="18" customHeight="1">
      <c r="A67" s="6" t="inlineStr">
        <is>
          <t>I</t>
        </is>
      </c>
      <c r="B67" s="37" t="inlineStr">
        <is>
          <t>YANGIN GÜVENLİK VE İŞARETLEME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</row>
    <row r="68" ht="28" customHeight="1">
      <c r="A68" s="39" t="inlineStr">
        <is>
          <t>I.1.1</t>
        </is>
      </c>
      <c r="B68" s="40" t="inlineStr">
        <is>
          <t>6 kg ABC kuru kimyevi tozlu yangın söndürücü — askı aparatı ve levhası ile</t>
        </is>
      </c>
      <c r="C68" s="14" t="inlineStr">
        <is>
          <t>ad</t>
        </is>
      </c>
      <c r="D68" s="41" t="n">
        <v>3</v>
      </c>
      <c r="E68" s="42" t="n"/>
      <c r="F68" s="43">
        <f>D68*E68</f>
        <v/>
      </c>
      <c r="G68" s="44" t="n"/>
      <c r="H68" s="44" t="n"/>
      <c r="I68" s="45">
        <f>G68+H68</f>
        <v/>
      </c>
      <c r="J68" s="46">
        <f>I68*E68</f>
        <v/>
      </c>
      <c r="K68" s="47">
        <f>H68*E68</f>
        <v/>
      </c>
    </row>
    <row r="69" ht="28" customHeight="1">
      <c r="A69" s="48" t="inlineStr">
        <is>
          <t>I.1.2</t>
        </is>
      </c>
      <c r="B69" s="49" t="inlineStr">
        <is>
          <t>Yangın dolabı — 30 m hortum, TS EN 671-2 (GSİM talebine bağlı opsiyon)</t>
        </is>
      </c>
      <c r="C69" s="50" t="inlineStr">
        <is>
          <t>ad</t>
        </is>
      </c>
      <c r="D69" s="51" t="n">
        <v>1</v>
      </c>
      <c r="E69" s="42" t="n"/>
      <c r="F69" s="52">
        <f>D69*E69</f>
        <v/>
      </c>
      <c r="G69" s="44" t="n"/>
      <c r="H69" s="44" t="n"/>
      <c r="I69" s="53">
        <f>G69+H69</f>
        <v/>
      </c>
      <c r="J69" s="54">
        <f>I69*E69</f>
        <v/>
      </c>
      <c r="K69" s="55">
        <f>H69*E69</f>
        <v/>
      </c>
    </row>
    <row r="70" ht="28" customHeight="1">
      <c r="A70" s="39" t="inlineStr">
        <is>
          <t>I.1.3</t>
        </is>
      </c>
      <c r="B70" s="40" t="inlineStr">
        <is>
          <t>Fotolüminesan yönlendirme ve yasak levhaları</t>
        </is>
      </c>
      <c r="C70" s="14" t="inlineStr">
        <is>
          <t>ad</t>
        </is>
      </c>
      <c r="D70" s="41" t="n">
        <v>7</v>
      </c>
      <c r="E70" s="42" t="n"/>
      <c r="F70" s="43">
        <f>D70*E70</f>
        <v/>
      </c>
      <c r="G70" s="44" t="n"/>
      <c r="H70" s="44" t="n"/>
      <c r="I70" s="45">
        <f>G70+H70</f>
        <v/>
      </c>
      <c r="J70" s="46">
        <f>I70*E70</f>
        <v/>
      </c>
      <c r="K70" s="47">
        <f>H70*E70</f>
        <v/>
      </c>
    </row>
    <row r="71" ht="18" customHeight="1">
      <c r="A71" s="6" t="inlineStr">
        <is>
          <t>J</t>
        </is>
      </c>
      <c r="B71" s="37" t="inlineStr">
        <is>
          <t>ŞANTİYE GENEL GİDERLERİ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</row>
    <row r="72" ht="28" customHeight="1">
      <c r="A72" s="39" t="inlineStr">
        <is>
          <t>J.1.1</t>
        </is>
      </c>
      <c r="B72" s="40" t="inlineStr">
        <is>
          <t>İnce ve kaba temizlik, teslim öncesi detay temizliği</t>
        </is>
      </c>
      <c r="C72" s="14" t="inlineStr">
        <is>
          <t>m²</t>
        </is>
      </c>
      <c r="D72" s="41" t="n">
        <v>103.78</v>
      </c>
      <c r="E72" s="42" t="n"/>
      <c r="F72" s="43">
        <f>D72*E72</f>
        <v/>
      </c>
      <c r="G72" s="44" t="n"/>
      <c r="H72" s="44" t="n"/>
      <c r="I72" s="45">
        <f>G72+H72</f>
        <v/>
      </c>
      <c r="J72" s="46">
        <f>I72*E72</f>
        <v/>
      </c>
      <c r="K72" s="47">
        <f>H72*E72</f>
        <v/>
      </c>
    </row>
    <row r="73" ht="28" customHeight="1">
      <c r="A73" s="48" t="inlineStr">
        <is>
          <t>J.1.2</t>
        </is>
      </c>
      <c r="B73" s="49" t="inlineStr">
        <is>
          <t>Şantiye kurulumu, koruma örtüleri, hoarding ve güvenlik</t>
        </is>
      </c>
      <c r="C73" s="50" t="inlineStr">
        <is>
          <t>tk</t>
        </is>
      </c>
      <c r="D73" s="51" t="n">
        <v>1</v>
      </c>
      <c r="E73" s="42" t="n"/>
      <c r="F73" s="52">
        <f>D73*E73</f>
        <v/>
      </c>
      <c r="G73" s="44" t="n"/>
      <c r="H73" s="44" t="n"/>
      <c r="I73" s="53">
        <f>G73+H73</f>
        <v/>
      </c>
      <c r="J73" s="54">
        <f>I73*E73</f>
        <v/>
      </c>
      <c r="K73" s="55">
        <f>H73*E73</f>
        <v/>
      </c>
    </row>
    <row r="74" ht="28" customHeight="1">
      <c r="A74" s="39" t="inlineStr">
        <is>
          <t>J.1.3</t>
        </is>
      </c>
      <c r="B74" s="40" t="inlineStr">
        <is>
          <t>Nakliyeler (malzeme sevkiyatı, vinç/asansör kullanımı)</t>
        </is>
      </c>
      <c r="C74" s="14" t="inlineStr">
        <is>
          <t>tk</t>
        </is>
      </c>
      <c r="D74" s="41" t="n">
        <v>1</v>
      </c>
      <c r="E74" s="42" t="n"/>
      <c r="F74" s="43">
        <f>D74*E74</f>
        <v/>
      </c>
      <c r="G74" s="44" t="n"/>
      <c r="H74" s="44" t="n"/>
      <c r="I74" s="45">
        <f>G74+H74</f>
        <v/>
      </c>
      <c r="J74" s="46">
        <f>I74*E74</f>
        <v/>
      </c>
      <c r="K74" s="47">
        <f>H74*E74</f>
        <v/>
      </c>
    </row>
    <row r="75" ht="28" customHeight="1">
      <c r="A75" s="48" t="inlineStr">
        <is>
          <t>J.1.4</t>
        </is>
      </c>
      <c r="B75" s="49" t="inlineStr">
        <is>
          <t>Usta ve düz işçi çalışmaları (poz dışı ilave işler)</t>
        </is>
      </c>
      <c r="C75" s="50" t="inlineStr">
        <is>
          <t>yev</t>
        </is>
      </c>
      <c r="D75" s="51" t="n">
        <v>35</v>
      </c>
      <c r="E75" s="42" t="n"/>
      <c r="F75" s="52">
        <f>D75*E75</f>
        <v/>
      </c>
      <c r="G75" s="44" t="n"/>
      <c r="H75" s="44" t="n"/>
      <c r="I75" s="53">
        <f>G75+H75</f>
        <v/>
      </c>
      <c r="J75" s="54">
        <f>I75*E75</f>
        <v/>
      </c>
      <c r="K75" s="55">
        <f>H75*E75</f>
        <v/>
      </c>
    </row>
    <row r="76">
      <c r="A76" s="32" t="inlineStr">
        <is>
          <t>MİMARİ İMALATLAR TOPLAMI (KDV hariç)</t>
        </is>
      </c>
      <c r="F76" s="8">
        <f>SUM(F5:F75)</f>
        <v/>
      </c>
      <c r="G76" s="6" t="inlineStr"/>
      <c r="H76" s="6" t="inlineStr"/>
      <c r="I76" s="6" t="inlineStr"/>
      <c r="J76" s="8">
        <f>SUM(J5:J75)</f>
        <v/>
      </c>
      <c r="K76" s="8">
        <f>SUM(K5:K75)</f>
        <v/>
      </c>
    </row>
  </sheetData>
  <mergeCells count="13">
    <mergeCell ref="B67:K67"/>
    <mergeCell ref="B61:K61"/>
    <mergeCell ref="B22:K22"/>
    <mergeCell ref="B71:K71"/>
    <mergeCell ref="B32:K32"/>
    <mergeCell ref="B48:K48"/>
    <mergeCell ref="A76:E76"/>
    <mergeCell ref="A2:K2"/>
    <mergeCell ref="B12:K12"/>
    <mergeCell ref="B38:K38"/>
    <mergeCell ref="B16:K16"/>
    <mergeCell ref="A1:K1"/>
    <mergeCell ref="B5:K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8" customWidth="1" min="4" max="4"/>
    <col width="20" customWidth="1" min="5" max="5"/>
    <col width="30" customWidth="1" min="6" max="6"/>
  </cols>
  <sheetData>
    <row r="1" ht="24" customHeight="1">
      <c r="A1" s="1" t="inlineStr">
        <is>
          <t>KESİNTİLER VE AVANSLAR  ·  DEDUCTIONS</t>
        </is>
      </c>
    </row>
    <row r="3" ht="24" customHeight="1">
      <c r="A3" s="17" t="inlineStr">
        <is>
          <t>SIRA</t>
        </is>
      </c>
      <c r="B3" s="17" t="inlineStr">
        <is>
          <t>AÇIKLAMA</t>
        </is>
      </c>
      <c r="C3" s="17" t="inlineStr">
        <is>
          <t>BELGE / NO</t>
        </is>
      </c>
      <c r="D3" s="17" t="inlineStr">
        <is>
          <t>TARİH</t>
        </is>
      </c>
      <c r="E3" s="17" t="inlineStr">
        <is>
          <t>TUTAR (TL)</t>
        </is>
      </c>
      <c r="F3" s="17" t="inlineStr">
        <is>
          <t>NOT</t>
        </is>
      </c>
    </row>
    <row r="4">
      <c r="A4" s="27" t="n">
        <v>1</v>
      </c>
      <c r="B4" s="56" t="inlineStr">
        <is>
          <t>1 No'lu avans</t>
        </is>
      </c>
      <c r="C4" s="57" t="n"/>
      <c r="D4" s="57" t="n"/>
      <c r="E4" s="58" t="n"/>
      <c r="F4" s="59" t="n"/>
    </row>
    <row r="5">
      <c r="A5" s="21" t="n">
        <v>2</v>
      </c>
      <c r="B5" s="56" t="inlineStr">
        <is>
          <t>2 No'lu avans</t>
        </is>
      </c>
      <c r="C5" s="57" t="n"/>
      <c r="D5" s="57" t="n"/>
      <c r="E5" s="58" t="n"/>
      <c r="F5" s="59" t="n"/>
    </row>
    <row r="6">
      <c r="A6" s="27" t="n">
        <v>3</v>
      </c>
      <c r="B6" s="56" t="inlineStr">
        <is>
          <t>3 No'lu avans</t>
        </is>
      </c>
      <c r="C6" s="57" t="n"/>
      <c r="D6" s="57" t="n"/>
      <c r="E6" s="58" t="n"/>
      <c r="F6" s="59" t="n"/>
    </row>
    <row r="7">
      <c r="A7" s="21" t="n">
        <v>4</v>
      </c>
      <c r="B7" s="56" t="inlineStr">
        <is>
          <t>4 No'lu avans</t>
        </is>
      </c>
      <c r="C7" s="57" t="n"/>
      <c r="D7" s="57" t="n"/>
      <c r="E7" s="58" t="n"/>
      <c r="F7" s="59" t="n"/>
    </row>
    <row r="8">
      <c r="A8" s="27" t="n">
        <v>5</v>
      </c>
      <c r="B8" s="56" t="inlineStr">
        <is>
          <t>5 No'lu avans</t>
        </is>
      </c>
      <c r="C8" s="57" t="n"/>
      <c r="D8" s="57" t="n"/>
      <c r="E8" s="58" t="n"/>
      <c r="F8" s="59" t="n"/>
    </row>
    <row r="9">
      <c r="A9" s="21" t="n">
        <v>6</v>
      </c>
      <c r="B9" s="56" t="inlineStr">
        <is>
          <t>6 No'lu avans</t>
        </is>
      </c>
      <c r="C9" s="57" t="n"/>
      <c r="D9" s="57" t="n"/>
      <c r="E9" s="58" t="n"/>
      <c r="F9" s="59" t="n"/>
    </row>
    <row r="10">
      <c r="A10" s="27" t="n">
        <v>7</v>
      </c>
      <c r="B10" s="56" t="inlineStr">
        <is>
          <t>7 No'lu avans</t>
        </is>
      </c>
      <c r="C10" s="57" t="n"/>
      <c r="D10" s="57" t="n"/>
      <c r="E10" s="58" t="n"/>
      <c r="F10" s="59" t="n"/>
    </row>
    <row r="11">
      <c r="A11" s="21" t="n">
        <v>8</v>
      </c>
      <c r="B11" s="56" t="inlineStr">
        <is>
          <t>8 No'lu avans</t>
        </is>
      </c>
      <c r="C11" s="57" t="n"/>
      <c r="D11" s="57" t="n"/>
      <c r="E11" s="58" t="n"/>
      <c r="F11" s="59" t="n"/>
    </row>
    <row r="12">
      <c r="A12" s="27" t="n">
        <v>9</v>
      </c>
      <c r="B12" s="56" t="inlineStr"/>
      <c r="C12" s="57" t="n"/>
      <c r="D12" s="57" t="n"/>
      <c r="E12" s="58" t="n"/>
      <c r="F12" s="59" t="n"/>
    </row>
    <row r="13">
      <c r="A13" s="21" t="n">
        <v>10</v>
      </c>
      <c r="B13" s="56" t="inlineStr"/>
      <c r="C13" s="57" t="n"/>
      <c r="D13" s="57" t="n"/>
      <c r="E13" s="58" t="n"/>
      <c r="F13" s="59" t="n"/>
    </row>
    <row r="14">
      <c r="A14" s="27" t="n">
        <v>11</v>
      </c>
      <c r="B14" s="56" t="inlineStr"/>
      <c r="C14" s="57" t="n"/>
      <c r="D14" s="57" t="n"/>
      <c r="E14" s="58" t="n"/>
      <c r="F14" s="59" t="n"/>
    </row>
    <row r="15">
      <c r="A15" s="21" t="n">
        <v>12</v>
      </c>
      <c r="B15" s="56" t="inlineStr"/>
      <c r="C15" s="57" t="n"/>
      <c r="D15" s="57" t="n"/>
      <c r="E15" s="58" t="n"/>
      <c r="F15" s="59" t="n"/>
    </row>
    <row r="16">
      <c r="A16" s="32" t="inlineStr">
        <is>
          <t>AVANS VE KESİNTİLER TOPLAMI</t>
        </is>
      </c>
      <c r="E16" s="8">
        <f>SUM(E4:E15)</f>
        <v/>
      </c>
      <c r="F16" s="37" t="inlineStr"/>
    </row>
    <row r="18" ht="30" customHeight="1">
      <c r="A18" s="12" t="inlineStr">
        <is>
          <t>Diğer kesintiler: teminat kesintisi, gecikme cezası, işveren tarafından karşılanan malzeme bedeli, elektrik-su tüketim payı, sigorta primi vb. bu tabloya ayrı satır olarak eklenir.</t>
        </is>
      </c>
    </row>
  </sheetData>
  <mergeCells count="3">
    <mergeCell ref="A1:F1"/>
    <mergeCell ref="A18:F18"/>
    <mergeCell ref="A16:D16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6" customWidth="1" min="4" max="4"/>
    <col width="38" customWidth="1" min="5" max="5"/>
    <col width="18" customWidth="1" min="6" max="6"/>
    <col width="18" customWidth="1" min="7" max="7"/>
    <col width="18" customWidth="1" min="8" max="8"/>
    <col width="10" customWidth="1" min="9" max="9"/>
  </cols>
  <sheetData>
    <row r="1" ht="24" customHeight="1">
      <c r="A1" s="1" t="inlineStr">
        <is>
          <t>ÖDEME TAKİP TABLOSU  ·  PAYMENT LOG</t>
        </is>
      </c>
    </row>
    <row r="2" ht="15" customHeight="1">
      <c r="A2" s="16" t="inlineStr">
        <is>
          <t>Referans projedeki «Vogelkopp tarafından yapılan ödemeler» tablosunun düzeni</t>
        </is>
      </c>
    </row>
    <row r="4" ht="28" customHeight="1">
      <c r="A4" s="17" t="inlineStr">
        <is>
          <t>SIRA</t>
        </is>
      </c>
      <c r="B4" s="17" t="inlineStr">
        <is>
          <t>TARİH</t>
        </is>
      </c>
      <c r="C4" s="17" t="inlineStr">
        <is>
          <t>İMALAT KALEMİ</t>
        </is>
      </c>
      <c r="D4" s="17" t="inlineStr">
        <is>
          <t>FİRMA</t>
        </is>
      </c>
      <c r="E4" s="17" t="inlineStr">
        <is>
          <t>AÇIKLAMA</t>
        </is>
      </c>
      <c r="F4" s="17" t="inlineStr">
        <is>
          <t>ANLAŞMA BEDELİ
(KDV dâhil)</t>
        </is>
      </c>
      <c r="G4" s="17" t="inlineStr">
        <is>
          <t>ÖDENEN</t>
        </is>
      </c>
      <c r="H4" s="17" t="inlineStr">
        <is>
          <t>BAKİYE</t>
        </is>
      </c>
      <c r="I4" s="17" t="inlineStr">
        <is>
          <t>KDV
%</t>
        </is>
      </c>
    </row>
    <row r="5">
      <c r="A5" s="27" t="n">
        <v>1</v>
      </c>
      <c r="B5" s="56" t="n"/>
      <c r="C5" s="56" t="n"/>
      <c r="D5" s="56" t="n"/>
      <c r="E5" s="56" t="n"/>
      <c r="F5" s="60" t="n"/>
      <c r="G5" s="60" t="n"/>
      <c r="H5" s="46">
        <f>F5-G5</f>
        <v/>
      </c>
      <c r="I5" s="57" t="n"/>
    </row>
    <row r="6">
      <c r="A6" s="21" t="n">
        <v>2</v>
      </c>
      <c r="B6" s="56" t="n"/>
      <c r="C6" s="56" t="n"/>
      <c r="D6" s="56" t="n"/>
      <c r="E6" s="56" t="n"/>
      <c r="F6" s="60" t="n"/>
      <c r="G6" s="60" t="n"/>
      <c r="H6" s="54">
        <f>F6-G6</f>
        <v/>
      </c>
      <c r="I6" s="57" t="n"/>
    </row>
    <row r="7">
      <c r="A7" s="27" t="n">
        <v>3</v>
      </c>
      <c r="B7" s="56" t="n"/>
      <c r="C7" s="56" t="n"/>
      <c r="D7" s="56" t="n"/>
      <c r="E7" s="56" t="n"/>
      <c r="F7" s="60" t="n"/>
      <c r="G7" s="60" t="n"/>
      <c r="H7" s="46">
        <f>F7-G7</f>
        <v/>
      </c>
      <c r="I7" s="57" t="n"/>
    </row>
    <row r="8">
      <c r="A8" s="21" t="n">
        <v>4</v>
      </c>
      <c r="B8" s="56" t="n"/>
      <c r="C8" s="56" t="n"/>
      <c r="D8" s="56" t="n"/>
      <c r="E8" s="56" t="n"/>
      <c r="F8" s="60" t="n"/>
      <c r="G8" s="60" t="n"/>
      <c r="H8" s="54">
        <f>F8-G8</f>
        <v/>
      </c>
      <c r="I8" s="57" t="n"/>
    </row>
    <row r="9">
      <c r="A9" s="27" t="n">
        <v>5</v>
      </c>
      <c r="B9" s="56" t="n"/>
      <c r="C9" s="56" t="n"/>
      <c r="D9" s="56" t="n"/>
      <c r="E9" s="56" t="n"/>
      <c r="F9" s="60" t="n"/>
      <c r="G9" s="60" t="n"/>
      <c r="H9" s="46">
        <f>F9-G9</f>
        <v/>
      </c>
      <c r="I9" s="57" t="n"/>
    </row>
    <row r="10">
      <c r="A10" s="21" t="n">
        <v>6</v>
      </c>
      <c r="B10" s="56" t="n"/>
      <c r="C10" s="56" t="n"/>
      <c r="D10" s="56" t="n"/>
      <c r="E10" s="56" t="n"/>
      <c r="F10" s="60" t="n"/>
      <c r="G10" s="60" t="n"/>
      <c r="H10" s="54">
        <f>F10-G10</f>
        <v/>
      </c>
      <c r="I10" s="57" t="n"/>
    </row>
    <row r="11">
      <c r="A11" s="27" t="n">
        <v>7</v>
      </c>
      <c r="B11" s="56" t="n"/>
      <c r="C11" s="56" t="n"/>
      <c r="D11" s="56" t="n"/>
      <c r="E11" s="56" t="n"/>
      <c r="F11" s="60" t="n"/>
      <c r="G11" s="60" t="n"/>
      <c r="H11" s="46">
        <f>F11-G11</f>
        <v/>
      </c>
      <c r="I11" s="57" t="n"/>
    </row>
    <row r="12">
      <c r="A12" s="21" t="n">
        <v>8</v>
      </c>
      <c r="B12" s="56" t="n"/>
      <c r="C12" s="56" t="n"/>
      <c r="D12" s="56" t="n"/>
      <c r="E12" s="56" t="n"/>
      <c r="F12" s="60" t="n"/>
      <c r="G12" s="60" t="n"/>
      <c r="H12" s="54">
        <f>F12-G12</f>
        <v/>
      </c>
      <c r="I12" s="57" t="n"/>
    </row>
    <row r="13">
      <c r="A13" s="27" t="n">
        <v>9</v>
      </c>
      <c r="B13" s="56" t="n"/>
      <c r="C13" s="56" t="n"/>
      <c r="D13" s="56" t="n"/>
      <c r="E13" s="56" t="n"/>
      <c r="F13" s="60" t="n"/>
      <c r="G13" s="60" t="n"/>
      <c r="H13" s="46">
        <f>F13-G13</f>
        <v/>
      </c>
      <c r="I13" s="57" t="n"/>
    </row>
    <row r="14">
      <c r="A14" s="21" t="n">
        <v>10</v>
      </c>
      <c r="B14" s="56" t="n"/>
      <c r="C14" s="56" t="n"/>
      <c r="D14" s="56" t="n"/>
      <c r="E14" s="56" t="n"/>
      <c r="F14" s="60" t="n"/>
      <c r="G14" s="60" t="n"/>
      <c r="H14" s="54">
        <f>F14-G14</f>
        <v/>
      </c>
      <c r="I14" s="57" t="n"/>
    </row>
    <row r="15">
      <c r="A15" s="27" t="n">
        <v>11</v>
      </c>
      <c r="B15" s="56" t="n"/>
      <c r="C15" s="56" t="n"/>
      <c r="D15" s="56" t="n"/>
      <c r="E15" s="56" t="n"/>
      <c r="F15" s="60" t="n"/>
      <c r="G15" s="60" t="n"/>
      <c r="H15" s="46">
        <f>F15-G15</f>
        <v/>
      </c>
      <c r="I15" s="57" t="n"/>
    </row>
    <row r="16">
      <c r="A16" s="21" t="n">
        <v>12</v>
      </c>
      <c r="B16" s="56" t="n"/>
      <c r="C16" s="56" t="n"/>
      <c r="D16" s="56" t="n"/>
      <c r="E16" s="56" t="n"/>
      <c r="F16" s="60" t="n"/>
      <c r="G16" s="60" t="n"/>
      <c r="H16" s="54">
        <f>F16-G16</f>
        <v/>
      </c>
      <c r="I16" s="57" t="n"/>
    </row>
    <row r="17">
      <c r="A17" s="27" t="n">
        <v>13</v>
      </c>
      <c r="B17" s="56" t="n"/>
      <c r="C17" s="56" t="n"/>
      <c r="D17" s="56" t="n"/>
      <c r="E17" s="56" t="n"/>
      <c r="F17" s="60" t="n"/>
      <c r="G17" s="60" t="n"/>
      <c r="H17" s="46">
        <f>F17-G17</f>
        <v/>
      </c>
      <c r="I17" s="57" t="n"/>
    </row>
    <row r="18">
      <c r="A18" s="21" t="n">
        <v>14</v>
      </c>
      <c r="B18" s="56" t="n"/>
      <c r="C18" s="56" t="n"/>
      <c r="D18" s="56" t="n"/>
      <c r="E18" s="56" t="n"/>
      <c r="F18" s="60" t="n"/>
      <c r="G18" s="60" t="n"/>
      <c r="H18" s="54">
        <f>F18-G18</f>
        <v/>
      </c>
      <c r="I18" s="57" t="n"/>
    </row>
    <row r="19">
      <c r="A19" s="27" t="n">
        <v>15</v>
      </c>
      <c r="B19" s="56" t="n"/>
      <c r="C19" s="56" t="n"/>
      <c r="D19" s="56" t="n"/>
      <c r="E19" s="56" t="n"/>
      <c r="F19" s="60" t="n"/>
      <c r="G19" s="60" t="n"/>
      <c r="H19" s="46">
        <f>F19-G19</f>
        <v/>
      </c>
      <c r="I19" s="57" t="n"/>
    </row>
    <row r="20">
      <c r="A20" s="21" t="n">
        <v>16</v>
      </c>
      <c r="B20" s="56" t="n"/>
      <c r="C20" s="56" t="n"/>
      <c r="D20" s="56" t="n"/>
      <c r="E20" s="56" t="n"/>
      <c r="F20" s="60" t="n"/>
      <c r="G20" s="60" t="n"/>
      <c r="H20" s="54">
        <f>F20-G20</f>
        <v/>
      </c>
      <c r="I20" s="57" t="n"/>
    </row>
    <row r="21">
      <c r="A21" s="27" t="n">
        <v>17</v>
      </c>
      <c r="B21" s="56" t="n"/>
      <c r="C21" s="56" t="n"/>
      <c r="D21" s="56" t="n"/>
      <c r="E21" s="56" t="n"/>
      <c r="F21" s="60" t="n"/>
      <c r="G21" s="60" t="n"/>
      <c r="H21" s="46">
        <f>F21-G21</f>
        <v/>
      </c>
      <c r="I21" s="57" t="n"/>
    </row>
    <row r="22">
      <c r="A22" s="21" t="n">
        <v>18</v>
      </c>
      <c r="B22" s="56" t="n"/>
      <c r="C22" s="56" t="n"/>
      <c r="D22" s="56" t="n"/>
      <c r="E22" s="56" t="n"/>
      <c r="F22" s="60" t="n"/>
      <c r="G22" s="60" t="n"/>
      <c r="H22" s="54">
        <f>F22-G22</f>
        <v/>
      </c>
      <c r="I22" s="57" t="n"/>
    </row>
    <row r="23">
      <c r="A23" s="27" t="n">
        <v>19</v>
      </c>
      <c r="B23" s="56" t="n"/>
      <c r="C23" s="56" t="n"/>
      <c r="D23" s="56" t="n"/>
      <c r="E23" s="56" t="n"/>
      <c r="F23" s="60" t="n"/>
      <c r="G23" s="60" t="n"/>
      <c r="H23" s="46">
        <f>F23-G23</f>
        <v/>
      </c>
      <c r="I23" s="57" t="n"/>
    </row>
    <row r="24">
      <c r="A24" s="21" t="n">
        <v>20</v>
      </c>
      <c r="B24" s="56" t="n"/>
      <c r="C24" s="56" t="n"/>
      <c r="D24" s="56" t="n"/>
      <c r="E24" s="56" t="n"/>
      <c r="F24" s="60" t="n"/>
      <c r="G24" s="60" t="n"/>
      <c r="H24" s="54">
        <f>F24-G24</f>
        <v/>
      </c>
      <c r="I24" s="57" t="n"/>
    </row>
    <row r="25">
      <c r="A25" s="27" t="n">
        <v>21</v>
      </c>
      <c r="B25" s="56" t="n"/>
      <c r="C25" s="56" t="n"/>
      <c r="D25" s="56" t="n"/>
      <c r="E25" s="56" t="n"/>
      <c r="F25" s="60" t="n"/>
      <c r="G25" s="60" t="n"/>
      <c r="H25" s="46">
        <f>F25-G25</f>
        <v/>
      </c>
      <c r="I25" s="57" t="n"/>
    </row>
    <row r="26">
      <c r="A26" s="21" t="n">
        <v>22</v>
      </c>
      <c r="B26" s="56" t="n"/>
      <c r="C26" s="56" t="n"/>
      <c r="D26" s="56" t="n"/>
      <c r="E26" s="56" t="n"/>
      <c r="F26" s="60" t="n"/>
      <c r="G26" s="60" t="n"/>
      <c r="H26" s="54">
        <f>F26-G26</f>
        <v/>
      </c>
      <c r="I26" s="57" t="n"/>
    </row>
    <row r="27">
      <c r="A27" s="27" t="n">
        <v>23</v>
      </c>
      <c r="B27" s="56" t="n"/>
      <c r="C27" s="56" t="n"/>
      <c r="D27" s="56" t="n"/>
      <c r="E27" s="56" t="n"/>
      <c r="F27" s="60" t="n"/>
      <c r="G27" s="60" t="n"/>
      <c r="H27" s="46">
        <f>F27-G27</f>
        <v/>
      </c>
      <c r="I27" s="57" t="n"/>
    </row>
    <row r="28">
      <c r="A28" s="21" t="n">
        <v>24</v>
      </c>
      <c r="B28" s="56" t="n"/>
      <c r="C28" s="56" t="n"/>
      <c r="D28" s="56" t="n"/>
      <c r="E28" s="56" t="n"/>
      <c r="F28" s="60" t="n"/>
      <c r="G28" s="60" t="n"/>
      <c r="H28" s="54">
        <f>F28-G28</f>
        <v/>
      </c>
      <c r="I28" s="57" t="n"/>
    </row>
    <row r="29">
      <c r="A29" s="27" t="n">
        <v>25</v>
      </c>
      <c r="B29" s="56" t="n"/>
      <c r="C29" s="56" t="n"/>
      <c r="D29" s="56" t="n"/>
      <c r="E29" s="56" t="n"/>
      <c r="F29" s="60" t="n"/>
      <c r="G29" s="60" t="n"/>
      <c r="H29" s="46">
        <f>F29-G29</f>
        <v/>
      </c>
      <c r="I29" s="57" t="n"/>
    </row>
    <row r="30">
      <c r="A30" s="21" t="n">
        <v>26</v>
      </c>
      <c r="B30" s="56" t="n"/>
      <c r="C30" s="56" t="n"/>
      <c r="D30" s="56" t="n"/>
      <c r="E30" s="56" t="n"/>
      <c r="F30" s="60" t="n"/>
      <c r="G30" s="60" t="n"/>
      <c r="H30" s="54">
        <f>F30-G30</f>
        <v/>
      </c>
      <c r="I30" s="57" t="n"/>
    </row>
    <row r="31">
      <c r="A31" s="27" t="n">
        <v>27</v>
      </c>
      <c r="B31" s="56" t="n"/>
      <c r="C31" s="56" t="n"/>
      <c r="D31" s="56" t="n"/>
      <c r="E31" s="56" t="n"/>
      <c r="F31" s="60" t="n"/>
      <c r="G31" s="60" t="n"/>
      <c r="H31" s="46">
        <f>F31-G31</f>
        <v/>
      </c>
      <c r="I31" s="57" t="n"/>
    </row>
    <row r="32">
      <c r="A32" s="21" t="n">
        <v>28</v>
      </c>
      <c r="B32" s="56" t="n"/>
      <c r="C32" s="56" t="n"/>
      <c r="D32" s="56" t="n"/>
      <c r="E32" s="56" t="n"/>
      <c r="F32" s="60" t="n"/>
      <c r="G32" s="60" t="n"/>
      <c r="H32" s="54">
        <f>F32-G32</f>
        <v/>
      </c>
      <c r="I32" s="57" t="n"/>
    </row>
    <row r="33">
      <c r="A33" s="27" t="n">
        <v>29</v>
      </c>
      <c r="B33" s="56" t="n"/>
      <c r="C33" s="56" t="n"/>
      <c r="D33" s="56" t="n"/>
      <c r="E33" s="56" t="n"/>
      <c r="F33" s="60" t="n"/>
      <c r="G33" s="60" t="n"/>
      <c r="H33" s="46">
        <f>F33-G33</f>
        <v/>
      </c>
      <c r="I33" s="57" t="n"/>
    </row>
    <row r="34">
      <c r="A34" s="21" t="n">
        <v>30</v>
      </c>
      <c r="B34" s="56" t="n"/>
      <c r="C34" s="56" t="n"/>
      <c r="D34" s="56" t="n"/>
      <c r="E34" s="56" t="n"/>
      <c r="F34" s="60" t="n"/>
      <c r="G34" s="60" t="n"/>
      <c r="H34" s="54">
        <f>F34-G34</f>
        <v/>
      </c>
      <c r="I34" s="57" t="n"/>
    </row>
    <row r="35">
      <c r="A35" s="27" t="n">
        <v>31</v>
      </c>
      <c r="B35" s="56" t="n"/>
      <c r="C35" s="56" t="n"/>
      <c r="D35" s="56" t="n"/>
      <c r="E35" s="56" t="n"/>
      <c r="F35" s="60" t="n"/>
      <c r="G35" s="60" t="n"/>
      <c r="H35" s="46">
        <f>F35-G35</f>
        <v/>
      </c>
      <c r="I35" s="57" t="n"/>
    </row>
    <row r="36">
      <c r="A36" s="21" t="n">
        <v>32</v>
      </c>
      <c r="B36" s="56" t="n"/>
      <c r="C36" s="56" t="n"/>
      <c r="D36" s="56" t="n"/>
      <c r="E36" s="56" t="n"/>
      <c r="F36" s="60" t="n"/>
      <c r="G36" s="60" t="n"/>
      <c r="H36" s="54">
        <f>F36-G36</f>
        <v/>
      </c>
      <c r="I36" s="57" t="n"/>
    </row>
    <row r="37">
      <c r="A37" s="27" t="n">
        <v>33</v>
      </c>
      <c r="B37" s="56" t="n"/>
      <c r="C37" s="56" t="n"/>
      <c r="D37" s="56" t="n"/>
      <c r="E37" s="56" t="n"/>
      <c r="F37" s="60" t="n"/>
      <c r="G37" s="60" t="n"/>
      <c r="H37" s="46">
        <f>F37-G37</f>
        <v/>
      </c>
      <c r="I37" s="57" t="n"/>
    </row>
    <row r="38">
      <c r="A38" s="21" t="n">
        <v>34</v>
      </c>
      <c r="B38" s="56" t="n"/>
      <c r="C38" s="56" t="n"/>
      <c r="D38" s="56" t="n"/>
      <c r="E38" s="56" t="n"/>
      <c r="F38" s="60" t="n"/>
      <c r="G38" s="60" t="n"/>
      <c r="H38" s="54">
        <f>F38-G38</f>
        <v/>
      </c>
      <c r="I38" s="57" t="n"/>
    </row>
    <row r="39">
      <c r="A39" s="27" t="n">
        <v>35</v>
      </c>
      <c r="B39" s="56" t="n"/>
      <c r="C39" s="56" t="n"/>
      <c r="D39" s="56" t="n"/>
      <c r="E39" s="56" t="n"/>
      <c r="F39" s="60" t="n"/>
      <c r="G39" s="60" t="n"/>
      <c r="H39" s="46">
        <f>F39-G39</f>
        <v/>
      </c>
      <c r="I39" s="57" t="n"/>
    </row>
    <row r="40">
      <c r="A40" s="21" t="n">
        <v>36</v>
      </c>
      <c r="B40" s="56" t="n"/>
      <c r="C40" s="56" t="n"/>
      <c r="D40" s="56" t="n"/>
      <c r="E40" s="56" t="n"/>
      <c r="F40" s="60" t="n"/>
      <c r="G40" s="60" t="n"/>
      <c r="H40" s="54">
        <f>F40-G40</f>
        <v/>
      </c>
      <c r="I40" s="57" t="n"/>
    </row>
    <row r="41">
      <c r="A41" s="27" t="n">
        <v>37</v>
      </c>
      <c r="B41" s="56" t="n"/>
      <c r="C41" s="56" t="n"/>
      <c r="D41" s="56" t="n"/>
      <c r="E41" s="56" t="n"/>
      <c r="F41" s="60" t="n"/>
      <c r="G41" s="60" t="n"/>
      <c r="H41" s="46">
        <f>F41-G41</f>
        <v/>
      </c>
      <c r="I41" s="57" t="n"/>
    </row>
    <row r="42">
      <c r="A42" s="21" t="n">
        <v>38</v>
      </c>
      <c r="B42" s="56" t="n"/>
      <c r="C42" s="56" t="n"/>
      <c r="D42" s="56" t="n"/>
      <c r="E42" s="56" t="n"/>
      <c r="F42" s="60" t="n"/>
      <c r="G42" s="60" t="n"/>
      <c r="H42" s="54">
        <f>F42-G42</f>
        <v/>
      </c>
      <c r="I42" s="57" t="n"/>
    </row>
    <row r="43">
      <c r="A43" s="27" t="n">
        <v>39</v>
      </c>
      <c r="B43" s="56" t="n"/>
      <c r="C43" s="56" t="n"/>
      <c r="D43" s="56" t="n"/>
      <c r="E43" s="56" t="n"/>
      <c r="F43" s="60" t="n"/>
      <c r="G43" s="60" t="n"/>
      <c r="H43" s="46">
        <f>F43-G43</f>
        <v/>
      </c>
      <c r="I43" s="57" t="n"/>
    </row>
    <row r="44">
      <c r="A44" s="21" t="n">
        <v>40</v>
      </c>
      <c r="B44" s="56" t="n"/>
      <c r="C44" s="56" t="n"/>
      <c r="D44" s="56" t="n"/>
      <c r="E44" s="56" t="n"/>
      <c r="F44" s="60" t="n"/>
      <c r="G44" s="60" t="n"/>
      <c r="H44" s="54">
        <f>F44-G44</f>
        <v/>
      </c>
      <c r="I44" s="57" t="n"/>
    </row>
    <row r="45">
      <c r="A45" s="32" t="inlineStr">
        <is>
          <t>GENEL TOPLAM</t>
        </is>
      </c>
      <c r="F45" s="8">
        <f>SUM(F5:F44)</f>
        <v/>
      </c>
      <c r="G45" s="8">
        <f>SUM(G5:G44)</f>
        <v/>
      </c>
      <c r="H45" s="8">
        <f>SUM(H5:H44)</f>
        <v/>
      </c>
      <c r="I45" s="6" t="inlineStr"/>
    </row>
  </sheetData>
  <mergeCells count="3">
    <mergeCell ref="A1:I1"/>
    <mergeCell ref="A45:E45"/>
    <mergeCell ref="A2:I2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2026-09-17T13:35:23Z</dcterms:created>
  <dcterms:modified xsi:type="dcterms:W3CDTF">2026-09-17T13:35:23Z</dcterms:modified>
</cp:coreProperties>
</file>