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Özet" sheetId="1" state="visible" r:id="rId1"/>
    <sheet name="2 · Detay metraj" sheetId="2" state="visible" r:id="rId2"/>
    <sheet name="3 · Sistem verileri" sheetId="3" state="visible" r:id="rId3"/>
    <sheet name="4 · Varsayımlar" sheetId="4" state="visible" r:id="rId4"/>
  </sheets>
  <definedNames>
    <definedName name="_xlnm._FilterDatabase" localSheetId="1" hidden="1">'2 · Detay metraj'!$A$3:$I$40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6B7078"/>
      <sz val="9"/>
    </font>
    <font>
      <name val="Calibri"/>
      <b val="1"/>
      <color rgb="FFFFFFFF"/>
      <sz val="10"/>
    </font>
    <font>
      <name val="Calibri"/>
      <b val="1"/>
      <color rgb="FF16273D"/>
      <sz val="9"/>
    </font>
    <font>
      <name val="Calibri"/>
      <color rgb="FF1C1C1C"/>
      <sz val="9"/>
    </font>
    <font>
      <name val="Calibri"/>
      <color rgb="FF16273D"/>
      <sz val="10"/>
    </font>
    <font>
      <name val="Calibri"/>
      <color rgb="FF8A8F98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color rgb="FF8A8F98"/>
      <sz val="10"/>
    </font>
    <font>
      <name val="Calibri"/>
      <color rgb="FF6B7078"/>
      <sz val="10"/>
    </font>
    <font>
      <name val="Calibri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6E8"/>
      </patternFill>
    </fill>
    <fill>
      <patternFill patternType="solid">
        <fgColor rgb="FFFFFFFF"/>
      </patternFill>
    </fill>
    <fill>
      <patternFill patternType="solid">
        <fgColor rgb="FFFDF3EC"/>
      </patternFill>
    </fill>
    <fill>
      <patternFill patternType="solid">
        <fgColor rgb="FFB8733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164" fontId="14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11" customWidth="1" min="5" max="5"/>
  </cols>
  <sheetData>
    <row r="1">
      <c r="A1" s="1" t="inlineStr">
        <is>
          <t>MEKANIK TESISAT — MALİYET ÖZETİ</t>
        </is>
      </c>
    </row>
    <row r="2">
      <c r="A2" s="2" t="inlineStr">
        <is>
          <t>Rev C · 13 Eylül 2026 · Eylül 2026 piyasa mertebesi · Ekipman işverence temin edilmiştir, bütçe dışıdır.</t>
        </is>
      </c>
    </row>
    <row r="4">
      <c r="A4" s="3" t="inlineStr">
        <is>
          <t>Sistem</t>
        </is>
      </c>
      <c r="B4" s="3" t="inlineStr">
        <is>
          <t>Teklif tutarı (TL)</t>
        </is>
      </c>
      <c r="C4" s="3" t="inlineStr">
        <is>
          <t>Referans düşük (TL)</t>
        </is>
      </c>
      <c r="D4" s="3" t="inlineStr">
        <is>
          <t>Referans yüksek (TL)</t>
        </is>
      </c>
      <c r="E4" s="3" t="inlineStr">
        <is>
          <t>Poz adedi</t>
        </is>
      </c>
    </row>
    <row r="5">
      <c r="A5" s="4" t="inlineStr">
        <is>
          <t>Havalandırma</t>
        </is>
      </c>
      <c r="B5" s="5">
        <f>'2 · Detay metraj'!G4+'2 · Detay metraj'!G5+'2 · Detay metraj'!G6+'2 · Detay metraj'!G7+'2 · Detay metraj'!G8+'2 · Detay metraj'!G9+'2 · Detay metraj'!G10+'2 · Detay metraj'!G11+'2 · Detay metraj'!G12+'2 · Detay metraj'!G13+'2 · Detay metraj'!G14+'2 · Detay metraj'!G15+'2 · Detay metraj'!G16+'2 · Detay metraj'!G17+'2 · Detay metraj'!G18+'2 · Detay metraj'!G19+'2 · Detay metraj'!G20+'2 · Detay metraj'!G21</f>
        <v/>
      </c>
      <c r="C5" s="6">
        <f>'2 · Detay metraj'!H4+'2 · Detay metraj'!H5+'2 · Detay metraj'!H6+'2 · Detay metraj'!H7+'2 · Detay metraj'!H8+'2 · Detay metraj'!H9+'2 · Detay metraj'!H10+'2 · Detay metraj'!H11+'2 · Detay metraj'!H12+'2 · Detay metraj'!H13+'2 · Detay metraj'!H14+'2 · Detay metraj'!H15+'2 · Detay metraj'!H16+'2 · Detay metraj'!H17+'2 · Detay metraj'!H18+'2 · Detay metraj'!H19+'2 · Detay metraj'!H20+'2 · Detay metraj'!H21</f>
        <v/>
      </c>
      <c r="D5" s="6">
        <f>'2 · Detay metraj'!I4+'2 · Detay metraj'!I5+'2 · Detay metraj'!I6+'2 · Detay metraj'!I7+'2 · Detay metraj'!I8+'2 · Detay metraj'!I9+'2 · Detay metraj'!I10+'2 · Detay metraj'!I11+'2 · Detay metraj'!I12+'2 · Detay metraj'!I13+'2 · Detay metraj'!I14+'2 · Detay metraj'!I15+'2 · Detay metraj'!I16+'2 · Detay metraj'!I17+'2 · Detay metraj'!I18+'2 · Detay metraj'!I19+'2 · Detay metraj'!I20+'2 · Detay metraj'!I21</f>
        <v/>
      </c>
      <c r="E5" s="7" t="n">
        <v>18</v>
      </c>
    </row>
    <row r="6">
      <c r="A6" s="8" t="inlineStr">
        <is>
          <t>İklimlendirme</t>
        </is>
      </c>
      <c r="B6" s="9">
        <f>'2 · Detay metraj'!G22+'2 · Detay metraj'!G23+'2 · Detay metraj'!G24+'2 · Detay metraj'!G25+'2 · Detay metraj'!G26+'2 · Detay metraj'!G27+'2 · Detay metraj'!G28</f>
        <v/>
      </c>
      <c r="C6" s="10">
        <f>'2 · Detay metraj'!H22+'2 · Detay metraj'!H23+'2 · Detay metraj'!H24+'2 · Detay metraj'!H25+'2 · Detay metraj'!H26+'2 · Detay metraj'!H27+'2 · Detay metraj'!H28</f>
        <v/>
      </c>
      <c r="D6" s="10">
        <f>'2 · Detay metraj'!I22+'2 · Detay metraj'!I23+'2 · Detay metraj'!I24+'2 · Detay metraj'!I25+'2 · Detay metraj'!I26+'2 · Detay metraj'!I27+'2 · Detay metraj'!I28</f>
        <v/>
      </c>
      <c r="E6" s="11" t="n">
        <v>7</v>
      </c>
    </row>
    <row r="7">
      <c r="A7" s="4" t="inlineStr">
        <is>
          <t>Sıhhi tesisat</t>
        </is>
      </c>
      <c r="B7" s="5">
        <f>'2 · Detay metraj'!G29+'2 · Detay metraj'!G30+'2 · Detay metraj'!G31+'2 · Detay metraj'!G32+'2 · Detay metraj'!G33+'2 · Detay metraj'!G34+'2 · Detay metraj'!G35+'2 · Detay metraj'!G36+'2 · Detay metraj'!G37+'2 · Detay metraj'!G38+'2 · Detay metraj'!G39+'2 · Detay metraj'!G40</f>
        <v/>
      </c>
      <c r="C7" s="6">
        <f>'2 · Detay metraj'!H29+'2 · Detay metraj'!H30+'2 · Detay metraj'!H31+'2 · Detay metraj'!H32+'2 · Detay metraj'!H33+'2 · Detay metraj'!H34+'2 · Detay metraj'!H35+'2 · Detay metraj'!H36+'2 · Detay metraj'!H37+'2 · Detay metraj'!H38+'2 · Detay metraj'!H39+'2 · Detay metraj'!H40</f>
        <v/>
      </c>
      <c r="D7" s="6">
        <f>'2 · Detay metraj'!I29+'2 · Detay metraj'!I30+'2 · Detay metraj'!I31+'2 · Detay metraj'!I32+'2 · Detay metraj'!I33+'2 · Detay metraj'!I34+'2 · Detay metraj'!I35+'2 · Detay metraj'!I36+'2 · Detay metraj'!I37+'2 · Detay metraj'!I38+'2 · Detay metraj'!I39+'2 · Detay metraj'!I40</f>
        <v/>
      </c>
      <c r="E7" s="7" t="n">
        <v>12</v>
      </c>
    </row>
    <row r="8">
      <c r="A8" s="12" t="inlineStr">
        <is>
          <t>MEKANIK TESISAT İMALAT TOPLAMI</t>
        </is>
      </c>
      <c r="B8" s="13">
        <f>SUM(B5:B7)</f>
        <v/>
      </c>
      <c r="C8" s="13">
        <f>SUM(C5:C7)</f>
        <v/>
      </c>
      <c r="D8" s="13">
        <f>SUM(D5:D7)</f>
        <v/>
      </c>
      <c r="E8" s="14" t="n">
        <v>37</v>
      </c>
    </row>
    <row r="10">
      <c r="A10" s="4" t="inlineStr">
        <is>
          <t>m² başına (net iç alan 103,78 m²)</t>
        </is>
      </c>
      <c r="B10" s="5">
        <f>B8/103.78</f>
        <v/>
      </c>
      <c r="C10" s="5">
        <f>C8/103.78</f>
        <v/>
      </c>
      <c r="D10" s="5">
        <f>D8/103.78</f>
        <v/>
      </c>
      <c r="E10" s="15" t="n"/>
    </row>
    <row r="12">
      <c r="A12" s="16" t="inlineStr">
        <is>
          <t>ANA DOSYA İLE İLİŞKİ</t>
        </is>
      </c>
      <c r="B12" s="16" t="n"/>
      <c r="C12" s="16" t="n"/>
      <c r="D12" s="16" t="n"/>
      <c r="E12" s="16" t="n"/>
    </row>
    <row r="13">
      <c r="A13" s="17" t="inlineStr">
        <is>
          <t>Bu dosyadaki pozlar, ana BoQ'daki 'MEKANİK' grubunun birebir aynısıdır.</t>
        </is>
      </c>
      <c r="B13" s="17" t="n"/>
      <c r="C13" s="17" t="n"/>
      <c r="D13" s="17" t="n"/>
      <c r="E13" s="17" t="n"/>
    </row>
    <row r="14">
      <c r="A14" s="17" t="inlineStr">
        <is>
          <t>Ana dosya: output/Gym_Maliyet_BoQ.xlsx — 2 · Detay metraj sayfası</t>
        </is>
      </c>
      <c r="B14" s="17" t="n"/>
      <c r="C14" s="17" t="n"/>
      <c r="D14" s="17" t="n"/>
      <c r="E14" s="1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56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MEKANIK TESISAT — DETAY METRAJ VE KEŞİF</t>
        </is>
      </c>
    </row>
    <row r="2">
      <c r="A2" s="2" t="inlineStr">
        <is>
          <t>MALTEPE / İDEALTEPE — MOBİLYA MAĞAZASI → FONKSİYONEL ANTRENMAN STÜDYOSU · Rev C · 13 Eylül 2026 · Fiyat referansı: Eylül 2026 piyasa mertebesi · Birim fiyat sütununu (F) doldurun, tutarlar kendiliğinden hesaplanır</t>
        </is>
      </c>
    </row>
    <row r="3">
      <c r="A3" s="3" t="inlineStr">
        <is>
          <t>Poz No</t>
        </is>
      </c>
      <c r="B3" s="3" t="inlineStr">
        <is>
          <t>Sistem</t>
        </is>
      </c>
      <c r="C3" s="3" t="inlineStr">
        <is>
          <t>Tanım</t>
        </is>
      </c>
      <c r="D3" s="3" t="inlineStr">
        <is>
          <t>Birim</t>
        </is>
      </c>
      <c r="E3" s="3" t="inlineStr">
        <is>
          <t>Miktar</t>
        </is>
      </c>
      <c r="F3" s="3" t="inlineStr">
        <is>
          <t>Birim fiyat (TL)</t>
        </is>
      </c>
      <c r="G3" s="3" t="inlineStr">
        <is>
          <t>Tutar (TL)</t>
        </is>
      </c>
      <c r="H3" s="3" t="inlineStr">
        <is>
          <t>Referans düşük (TL)</t>
        </is>
      </c>
      <c r="I3" s="3" t="inlineStr">
        <is>
          <t>Referans yüksek (TL)</t>
        </is>
      </c>
    </row>
    <row r="4">
      <c r="A4" s="18" t="inlineStr">
        <is>
          <t>06.01</t>
        </is>
      </c>
      <c r="B4" s="2" t="inlineStr">
        <is>
          <t>Havalandırma</t>
        </is>
      </c>
      <c r="C4" s="19" t="inlineStr">
        <is>
          <t>Kanal tipi taze hava fanı — 1.000 m³/h / 250 Pa, hız kontrollü</t>
        </is>
      </c>
      <c r="D4" s="20" t="inlineStr">
        <is>
          <t>adet</t>
        </is>
      </c>
      <c r="E4" s="21" t="n">
        <v>1</v>
      </c>
      <c r="F4" s="22" t="n"/>
      <c r="G4" s="23">
        <f>E4*F4*1</f>
        <v/>
      </c>
      <c r="H4" s="24" t="n">
        <v>18500</v>
      </c>
      <c r="I4" s="24" t="n">
        <v>31000</v>
      </c>
    </row>
    <row r="5">
      <c r="A5" s="25" t="inlineStr">
        <is>
          <t>06.02</t>
        </is>
      </c>
      <c r="B5" s="26" t="inlineStr">
        <is>
          <t>Havalandırma</t>
        </is>
      </c>
      <c r="C5" s="27" t="inlineStr">
        <is>
          <t>Kanal tipi egzoz fanı — 760 m³/h / 200 Pa</t>
        </is>
      </c>
      <c r="D5" s="28" t="inlineStr">
        <is>
          <t>adet</t>
        </is>
      </c>
      <c r="E5" s="29" t="n">
        <v>1</v>
      </c>
      <c r="F5" s="22" t="n"/>
      <c r="G5" s="30">
        <f>E5*F5*1</f>
        <v/>
      </c>
      <c r="H5" s="31" t="n">
        <v>14500</v>
      </c>
      <c r="I5" s="31" t="n">
        <v>24000</v>
      </c>
    </row>
    <row r="6">
      <c r="A6" s="18" t="inlineStr">
        <is>
          <t>06.03</t>
        </is>
      </c>
      <c r="B6" s="2" t="inlineStr">
        <is>
          <t>Havalandırma</t>
        </is>
      </c>
      <c r="C6" s="19" t="inlineStr">
        <is>
          <t>Islak hacim egzoz fanı — 240 m³/h, sessiz tip, nem sensörlü</t>
        </is>
      </c>
      <c r="D6" s="20" t="inlineStr">
        <is>
          <t>adet</t>
        </is>
      </c>
      <c r="E6" s="21" t="n">
        <v>1</v>
      </c>
      <c r="F6" s="22" t="n"/>
      <c r="G6" s="23">
        <f>E6*F6*1</f>
        <v/>
      </c>
      <c r="H6" s="24" t="n">
        <v>6500</v>
      </c>
      <c r="I6" s="24" t="n">
        <v>11500</v>
      </c>
    </row>
    <row r="7">
      <c r="A7" s="25" t="inlineStr">
        <is>
          <t>06.04</t>
        </is>
      </c>
      <c r="B7" s="26" t="inlineStr">
        <is>
          <t>Havalandırma</t>
        </is>
      </c>
      <c r="C7" s="27" t="inlineStr">
        <is>
          <t>Galvaniz dikdörtgen kanal 500×150 — besleme ana hattı</t>
        </is>
      </c>
      <c r="D7" s="28" t="inlineStr">
        <is>
          <t>m</t>
        </is>
      </c>
      <c r="E7" s="29" t="n">
        <v>10.3</v>
      </c>
      <c r="F7" s="22" t="n"/>
      <c r="G7" s="30">
        <f>E7*F7*1</f>
        <v/>
      </c>
      <c r="H7" s="31" t="n">
        <v>13905</v>
      </c>
      <c r="I7" s="31" t="n">
        <v>22660</v>
      </c>
    </row>
    <row r="8">
      <c r="A8" s="18" t="inlineStr">
        <is>
          <t>06.05</t>
        </is>
      </c>
      <c r="B8" s="2" t="inlineStr">
        <is>
          <t>Havalandırma</t>
        </is>
      </c>
      <c r="C8" s="19" t="inlineStr">
        <is>
          <t>Galvaniz dikdörtgen kanal 400×150 — egzoz ana hattı</t>
        </is>
      </c>
      <c r="D8" s="20" t="inlineStr">
        <is>
          <t>m</t>
        </is>
      </c>
      <c r="E8" s="21" t="n">
        <v>9.1</v>
      </c>
      <c r="F8" s="22" t="n"/>
      <c r="G8" s="23">
        <f>E8*F8*1</f>
        <v/>
      </c>
      <c r="H8" s="24" t="n">
        <v>10465</v>
      </c>
      <c r="I8" s="24" t="n">
        <v>17290</v>
      </c>
    </row>
    <row r="9">
      <c r="A9" s="25" t="inlineStr">
        <is>
          <t>06.06</t>
        </is>
      </c>
      <c r="B9" s="26" t="inlineStr">
        <is>
          <t>Havalandırma</t>
        </is>
      </c>
      <c r="C9" s="27" t="inlineStr">
        <is>
          <t>Spiro kanal Ø200 — menfez branşmanları</t>
        </is>
      </c>
      <c r="D9" s="28" t="inlineStr">
        <is>
          <t>m</t>
        </is>
      </c>
      <c r="E9" s="29" t="n">
        <v>8</v>
      </c>
      <c r="F9" s="22" t="n"/>
      <c r="G9" s="30">
        <f>E9*F9*1</f>
        <v/>
      </c>
      <c r="H9" s="31" t="n">
        <v>4960</v>
      </c>
      <c r="I9" s="31" t="n">
        <v>8400</v>
      </c>
    </row>
    <row r="10">
      <c r="A10" s="18" t="inlineStr">
        <is>
          <t>06.06b</t>
        </is>
      </c>
      <c r="B10" s="2" t="inlineStr">
        <is>
          <t>Havalandırma</t>
        </is>
      </c>
      <c r="C10" s="19" t="inlineStr">
        <is>
          <t>Spiro kanal Ø125 — ıslak hacim valf branşmanları</t>
        </is>
      </c>
      <c r="D10" s="20" t="inlineStr">
        <is>
          <t>m</t>
        </is>
      </c>
      <c r="E10" s="21" t="n">
        <v>4.6</v>
      </c>
      <c r="F10" s="22" t="n"/>
      <c r="G10" s="23">
        <f>E10*F10*1</f>
        <v/>
      </c>
      <c r="H10" s="24" t="n">
        <v>1932</v>
      </c>
      <c r="I10" s="24" t="n">
        <v>3312</v>
      </c>
    </row>
    <row r="11">
      <c r="A11" s="25" t="inlineStr">
        <is>
          <t>06.07</t>
        </is>
      </c>
      <c r="B11" s="26" t="inlineStr">
        <is>
          <t>Havalandırma</t>
        </is>
      </c>
      <c r="C11" s="27" t="inlineStr">
        <is>
          <t>Spiro kanal Ø160 — ıslak hacim egzoz hattı</t>
        </is>
      </c>
      <c r="D11" s="28" t="inlineStr">
        <is>
          <t>m</t>
        </is>
      </c>
      <c r="E11" s="29" t="n">
        <v>7.4</v>
      </c>
      <c r="F11" s="22" t="n"/>
      <c r="G11" s="30">
        <f>E11*F11*1</f>
        <v/>
      </c>
      <c r="H11" s="31" t="n">
        <v>3996</v>
      </c>
      <c r="I11" s="31" t="n">
        <v>6660</v>
      </c>
    </row>
    <row r="12">
      <c r="A12" s="18" t="inlineStr">
        <is>
          <t>06.08</t>
        </is>
      </c>
      <c r="B12" s="2" t="inlineStr">
        <is>
          <t>Havalandırma</t>
        </is>
      </c>
      <c r="C12" s="19" t="inlineStr">
        <is>
          <t>Çift sıra ayarlı besleme menfezi 300×150 + plenum</t>
        </is>
      </c>
      <c r="D12" s="20" t="inlineStr">
        <is>
          <t>adet</t>
        </is>
      </c>
      <c r="E12" s="21" t="n">
        <v>4</v>
      </c>
      <c r="F12" s="22" t="n"/>
      <c r="G12" s="23">
        <f>E12*F12*1</f>
        <v/>
      </c>
      <c r="H12" s="24" t="n">
        <v>9600</v>
      </c>
      <c r="I12" s="24" t="n">
        <v>15600</v>
      </c>
    </row>
    <row r="13">
      <c r="A13" s="25" t="inlineStr">
        <is>
          <t>06.09</t>
        </is>
      </c>
      <c r="B13" s="26" t="inlineStr">
        <is>
          <t>Havalandırma</t>
        </is>
      </c>
      <c r="C13" s="27" t="inlineStr">
        <is>
          <t>Egzoz menfezi 300×150 + plenum</t>
        </is>
      </c>
      <c r="D13" s="28" t="inlineStr">
        <is>
          <t>adet</t>
        </is>
      </c>
      <c r="E13" s="29" t="n">
        <v>3</v>
      </c>
      <c r="F13" s="22" t="n"/>
      <c r="G13" s="30">
        <f>E13*F13*1</f>
        <v/>
      </c>
      <c r="H13" s="31" t="n">
        <v>6300</v>
      </c>
      <c r="I13" s="31" t="n">
        <v>10200</v>
      </c>
    </row>
    <row r="14">
      <c r="A14" s="18" t="inlineStr">
        <is>
          <t>06.10</t>
        </is>
      </c>
      <c r="B14" s="2" t="inlineStr">
        <is>
          <t>Havalandırma</t>
        </is>
      </c>
      <c r="C14" s="19" t="inlineStr">
        <is>
          <t>Tavan egzoz valfi Ø160 (duş / WC)</t>
        </is>
      </c>
      <c r="D14" s="20" t="inlineStr">
        <is>
          <t>adet</t>
        </is>
      </c>
      <c r="E14" s="21" t="n">
        <v>4</v>
      </c>
      <c r="F14" s="22" t="n"/>
      <c r="G14" s="23">
        <f>E14*F14*1</f>
        <v/>
      </c>
      <c r="H14" s="24" t="n">
        <v>3800</v>
      </c>
      <c r="I14" s="24" t="n">
        <v>6400</v>
      </c>
    </row>
    <row r="15">
      <c r="A15" s="25" t="inlineStr">
        <is>
          <t>06.11</t>
        </is>
      </c>
      <c r="B15" s="26" t="inlineStr">
        <is>
          <t>Havalandırma</t>
        </is>
      </c>
      <c r="C15" s="27" t="inlineStr">
        <is>
          <t>Debi ayar damperi (branşman başı)</t>
        </is>
      </c>
      <c r="D15" s="28" t="inlineStr">
        <is>
          <t>adet</t>
        </is>
      </c>
      <c r="E15" s="29" t="n">
        <v>7</v>
      </c>
      <c r="F15" s="22" t="n"/>
      <c r="G15" s="30">
        <f>E15*F15*1</f>
        <v/>
      </c>
      <c r="H15" s="31" t="n">
        <v>8050</v>
      </c>
      <c r="I15" s="31" t="n">
        <v>13300</v>
      </c>
    </row>
    <row r="16">
      <c r="A16" s="18" t="inlineStr">
        <is>
          <t>06.12</t>
        </is>
      </c>
      <c r="B16" s="2" t="inlineStr">
        <is>
          <t>Havalandırma</t>
        </is>
      </c>
      <c r="C16" s="19" t="inlineStr">
        <is>
          <t>Kanal susturucusu 1.000 mm — besleme ve egzoz</t>
        </is>
      </c>
      <c r="D16" s="20" t="inlineStr">
        <is>
          <t>adet</t>
        </is>
      </c>
      <c r="E16" s="21" t="n">
        <v>2</v>
      </c>
      <c r="F16" s="22" t="n"/>
      <c r="G16" s="23">
        <f>E16*F16*1</f>
        <v/>
      </c>
      <c r="H16" s="24" t="n">
        <v>13600</v>
      </c>
      <c r="I16" s="24" t="n">
        <v>23000</v>
      </c>
    </row>
    <row r="17">
      <c r="A17" s="25" t="inlineStr">
        <is>
          <t>06.13</t>
        </is>
      </c>
      <c r="B17" s="26" t="inlineStr">
        <is>
          <t>Havalandırma</t>
        </is>
      </c>
      <c r="C17" s="27" t="inlineStr">
        <is>
          <t>Dış hava / egzoz panjuru + kuş teli</t>
        </is>
      </c>
      <c r="D17" s="28" t="inlineStr">
        <is>
          <t>adet</t>
        </is>
      </c>
      <c r="E17" s="29" t="n">
        <v>3</v>
      </c>
      <c r="F17" s="22" t="n"/>
      <c r="G17" s="30">
        <f>E17*F17*1</f>
        <v/>
      </c>
      <c r="H17" s="31" t="n">
        <v>9600</v>
      </c>
      <c r="I17" s="31" t="n">
        <v>16200</v>
      </c>
    </row>
    <row r="18">
      <c r="A18" s="18" t="inlineStr">
        <is>
          <t>06.14</t>
        </is>
      </c>
      <c r="B18" s="2" t="inlineStr">
        <is>
          <t>Havalandırma</t>
        </is>
      </c>
      <c r="C18" s="19" t="inlineStr">
        <is>
          <t>Kanal izolasyonu — 19 mm elastomerik kauçuk</t>
        </is>
      </c>
      <c r="D18" s="20" t="inlineStr">
        <is>
          <t>m²</t>
        </is>
      </c>
      <c r="E18" s="21" t="n">
        <v>25.2</v>
      </c>
      <c r="F18" s="22" t="n"/>
      <c r="G18" s="23">
        <f>E18*F18*1</f>
        <v/>
      </c>
      <c r="H18" s="24" t="n">
        <v>19656</v>
      </c>
      <c r="I18" s="24" t="n">
        <v>32760</v>
      </c>
    </row>
    <row r="19">
      <c r="A19" s="25" t="inlineStr">
        <is>
          <t>06.15</t>
        </is>
      </c>
      <c r="B19" s="26" t="inlineStr">
        <is>
          <t>Havalandırma</t>
        </is>
      </c>
      <c r="C19" s="27" t="inlineStr">
        <is>
          <t>Kanal askı, taşıyıcı ve titreşim takozu</t>
        </is>
      </c>
      <c r="D19" s="28" t="inlineStr">
        <is>
          <t>m</t>
        </is>
      </c>
      <c r="E19" s="29" t="n">
        <v>26.8</v>
      </c>
      <c r="F19" s="22" t="n"/>
      <c r="G19" s="30">
        <f>E19*F19*1</f>
        <v/>
      </c>
      <c r="H19" s="31" t="n">
        <v>8576</v>
      </c>
      <c r="I19" s="31" t="n">
        <v>14472</v>
      </c>
    </row>
    <row r="20">
      <c r="A20" s="18" t="inlineStr">
        <is>
          <t>06.16</t>
        </is>
      </c>
      <c r="B20" s="2" t="inlineStr">
        <is>
          <t>Havalandırma</t>
        </is>
      </c>
      <c r="C20" s="19" t="inlineStr">
        <is>
          <t>Hava debisi ölçümü, balanslama ve test raporu</t>
        </is>
      </c>
      <c r="D20" s="20" t="inlineStr">
        <is>
          <t>götürü</t>
        </is>
      </c>
      <c r="E20" s="21" t="n">
        <v>1</v>
      </c>
      <c r="F20" s="22" t="n"/>
      <c r="G20" s="23">
        <f>E20*F20*1</f>
        <v/>
      </c>
      <c r="H20" s="24" t="n">
        <v>12000</v>
      </c>
      <c r="I20" s="24" t="n">
        <v>22000</v>
      </c>
    </row>
    <row r="21">
      <c r="A21" s="32" t="inlineStr">
        <is>
          <t>06.17</t>
        </is>
      </c>
      <c r="B21" s="33" t="inlineStr">
        <is>
          <t>Havalandırma</t>
        </is>
      </c>
      <c r="C21" s="34" t="inlineStr">
        <is>
          <t>SEÇENEK — ısı geri kazanımlı taze hava ünitesi 1.000 m³/h (%75 verim)</t>
        </is>
      </c>
      <c r="D21" s="35" t="inlineStr">
        <is>
          <t>adet</t>
        </is>
      </c>
      <c r="E21" s="36" t="n">
        <v>1</v>
      </c>
      <c r="F21" s="22" t="n"/>
      <c r="G21" s="37">
        <f>E21*F21*0</f>
        <v/>
      </c>
      <c r="H21" s="38" t="n">
        <v>0</v>
      </c>
      <c r="I21" s="38" t="n">
        <v>0</v>
      </c>
    </row>
    <row r="22">
      <c r="A22" s="18" t="inlineStr">
        <is>
          <t>06.20</t>
        </is>
      </c>
      <c r="B22" s="2" t="inlineStr">
        <is>
          <t>İklimlendirme</t>
        </is>
      </c>
      <c r="C22" s="19" t="inlineStr">
        <is>
          <t>Duvar tipi inverter split klima 24.000 BTU (iç + dış ünite)</t>
        </is>
      </c>
      <c r="D22" s="20" t="inlineStr">
        <is>
          <t>adet</t>
        </is>
      </c>
      <c r="E22" s="21" t="n">
        <v>1</v>
      </c>
      <c r="F22" s="22" t="n"/>
      <c r="G22" s="23">
        <f>E22*F22*1</f>
        <v/>
      </c>
      <c r="H22" s="24" t="n">
        <v>34000</v>
      </c>
      <c r="I22" s="24" t="n">
        <v>55000</v>
      </c>
    </row>
    <row r="23">
      <c r="A23" s="25" t="inlineStr">
        <is>
          <t>06.21</t>
        </is>
      </c>
      <c r="B23" s="26" t="inlineStr">
        <is>
          <t>İklimlendirme</t>
        </is>
      </c>
      <c r="C23" s="27" t="inlineStr">
        <is>
          <t>Duvar tipi inverter split klima 18.000 BTU (iç + dış ünite)</t>
        </is>
      </c>
      <c r="D23" s="28" t="inlineStr">
        <is>
          <t>adet</t>
        </is>
      </c>
      <c r="E23" s="29" t="n">
        <v>1</v>
      </c>
      <c r="F23" s="22" t="n"/>
      <c r="G23" s="30">
        <f>E23*F23*1</f>
        <v/>
      </c>
      <c r="H23" s="31" t="n">
        <v>27000</v>
      </c>
      <c r="I23" s="31" t="n">
        <v>44000</v>
      </c>
    </row>
    <row r="24">
      <c r="A24" s="18" t="inlineStr">
        <is>
          <t>06.22</t>
        </is>
      </c>
      <c r="B24" s="2" t="inlineStr">
        <is>
          <t>İklimlendirme</t>
        </is>
      </c>
      <c r="C24" s="19" t="inlineStr">
        <is>
          <t>Duvar tipi inverter split klima 12.000 BTU (iç + dış ünite)</t>
        </is>
      </c>
      <c r="D24" s="20" t="inlineStr">
        <is>
          <t>adet</t>
        </is>
      </c>
      <c r="E24" s="21" t="n">
        <v>2</v>
      </c>
      <c r="F24" s="22" t="n"/>
      <c r="G24" s="23">
        <f>E24*F24*1</f>
        <v/>
      </c>
      <c r="H24" s="24" t="n">
        <v>39000</v>
      </c>
      <c r="I24" s="24" t="n">
        <v>64000</v>
      </c>
    </row>
    <row r="25">
      <c r="A25" s="25" t="inlineStr">
        <is>
          <t>06.23</t>
        </is>
      </c>
      <c r="B25" s="26" t="inlineStr">
        <is>
          <t>İklimlendirme</t>
        </is>
      </c>
      <c r="C25" s="27" t="inlineStr">
        <is>
          <t>Bakır boru seti (1/4"–5/8") + izolasyon + bağlantı kablosu</t>
        </is>
      </c>
      <c r="D25" s="28" t="inlineStr">
        <is>
          <t>m</t>
        </is>
      </c>
      <c r="E25" s="29" t="n">
        <v>33.5</v>
      </c>
      <c r="F25" s="22" t="n"/>
      <c r="G25" s="30">
        <f>E25*F25*1</f>
        <v/>
      </c>
      <c r="H25" s="31" t="n">
        <v>36850</v>
      </c>
      <c r="I25" s="31" t="n">
        <v>61975</v>
      </c>
    </row>
    <row r="26">
      <c r="A26" s="18" t="inlineStr">
        <is>
          <t>06.24</t>
        </is>
      </c>
      <c r="B26" s="2" t="inlineStr">
        <is>
          <t>İklimlendirme</t>
        </is>
      </c>
      <c r="C26" s="19" t="inlineStr">
        <is>
          <t>Dış ünite galvaniz montaj konsolu ve titreşim takozu</t>
        </is>
      </c>
      <c r="D26" s="20" t="inlineStr">
        <is>
          <t>adet</t>
        </is>
      </c>
      <c r="E26" s="21" t="n">
        <v>4</v>
      </c>
      <c r="F26" s="22" t="n"/>
      <c r="G26" s="23">
        <f>E26*F26*1</f>
        <v/>
      </c>
      <c r="H26" s="24" t="n">
        <v>15200</v>
      </c>
      <c r="I26" s="24" t="n">
        <v>24800</v>
      </c>
    </row>
    <row r="27">
      <c r="A27" s="25" t="inlineStr">
        <is>
          <t>06.25</t>
        </is>
      </c>
      <c r="B27" s="26" t="inlineStr">
        <is>
          <t>İklimlendirme</t>
        </is>
      </c>
      <c r="C27" s="27" t="inlineStr">
        <is>
          <t>Drenaj hattı PPRC Ø25 + izolasyon</t>
        </is>
      </c>
      <c r="D27" s="28" t="inlineStr">
        <is>
          <t>m</t>
        </is>
      </c>
      <c r="E27" s="29" t="n">
        <v>31.6</v>
      </c>
      <c r="F27" s="22" t="n"/>
      <c r="G27" s="30">
        <f>E27*F27*1</f>
        <v/>
      </c>
      <c r="H27" s="31" t="n">
        <v>13272</v>
      </c>
      <c r="I27" s="31" t="n">
        <v>22752</v>
      </c>
    </row>
    <row r="28">
      <c r="A28" s="18" t="inlineStr">
        <is>
          <t>06.26</t>
        </is>
      </c>
      <c r="B28" s="2" t="inlineStr">
        <is>
          <t>İklimlendirme</t>
        </is>
      </c>
      <c r="C28" s="19" t="inlineStr">
        <is>
          <t>Vakum, gaz şarjı, devreye alma ve test</t>
        </is>
      </c>
      <c r="D28" s="20" t="inlineStr">
        <is>
          <t>adet</t>
        </is>
      </c>
      <c r="E28" s="21" t="n">
        <v>4</v>
      </c>
      <c r="F28" s="22" t="n"/>
      <c r="G28" s="23">
        <f>E28*F28*1</f>
        <v/>
      </c>
      <c r="H28" s="24" t="n">
        <v>12800</v>
      </c>
      <c r="I28" s="24" t="n">
        <v>21600</v>
      </c>
    </row>
    <row r="29">
      <c r="A29" s="25" t="inlineStr">
        <is>
          <t>06.30</t>
        </is>
      </c>
      <c r="B29" s="26" t="inlineStr">
        <is>
          <t>Sıhhi tesisat</t>
        </is>
      </c>
      <c r="C29" s="27" t="inlineStr">
        <is>
          <t>PPRC temiz su borusu Ø25 (ek parça ve montaj dahil)</t>
        </is>
      </c>
      <c r="D29" s="28" t="inlineStr">
        <is>
          <t>m</t>
        </is>
      </c>
      <c r="E29" s="29" t="n">
        <v>6.9</v>
      </c>
      <c r="F29" s="22" t="n"/>
      <c r="G29" s="30">
        <f>E29*F29*1</f>
        <v/>
      </c>
      <c r="H29" s="31" t="n">
        <v>4278</v>
      </c>
      <c r="I29" s="31" t="n">
        <v>7245</v>
      </c>
    </row>
    <row r="30">
      <c r="A30" s="18" t="inlineStr">
        <is>
          <t>06.31</t>
        </is>
      </c>
      <c r="B30" s="2" t="inlineStr">
        <is>
          <t>Sıhhi tesisat</t>
        </is>
      </c>
      <c r="C30" s="19" t="inlineStr">
        <is>
          <t>PPRC temiz su borusu Ø20 (ek parça ve montaj dahil)</t>
        </is>
      </c>
      <c r="D30" s="20" t="inlineStr">
        <is>
          <t>m</t>
        </is>
      </c>
      <c r="E30" s="21" t="n">
        <v>3.1</v>
      </c>
      <c r="F30" s="22" t="n"/>
      <c r="G30" s="23">
        <f>E30*F30*1</f>
        <v/>
      </c>
      <c r="H30" s="24" t="n">
        <v>1612</v>
      </c>
      <c r="I30" s="24" t="n">
        <v>2728</v>
      </c>
    </row>
    <row r="31">
      <c r="A31" s="25" t="inlineStr">
        <is>
          <t>06.32</t>
        </is>
      </c>
      <c r="B31" s="26" t="inlineStr">
        <is>
          <t>Sıhhi tesisat</t>
        </is>
      </c>
      <c r="C31" s="27" t="inlineStr">
        <is>
          <t>PPRC sıcak su hattı Ø20 + boru izolasyonu</t>
        </is>
      </c>
      <c r="D31" s="28" t="inlineStr">
        <is>
          <t>m</t>
        </is>
      </c>
      <c r="E31" s="29" t="n">
        <v>4.2</v>
      </c>
      <c r="F31" s="22" t="n"/>
      <c r="G31" s="30">
        <f>E31*F31*1</f>
        <v/>
      </c>
      <c r="H31" s="31" t="n">
        <v>2856</v>
      </c>
      <c r="I31" s="31" t="n">
        <v>4830</v>
      </c>
    </row>
    <row r="32">
      <c r="A32" s="18" t="inlineStr">
        <is>
          <t>06.33</t>
        </is>
      </c>
      <c r="B32" s="2" t="inlineStr">
        <is>
          <t>Sıhhi tesisat</t>
        </is>
      </c>
      <c r="C32" s="19" t="inlineStr">
        <is>
          <t>PVC pis su borusu Ø100 (%2 eğimli, askılı)</t>
        </is>
      </c>
      <c r="D32" s="20" t="inlineStr">
        <is>
          <t>m</t>
        </is>
      </c>
      <c r="E32" s="21" t="n">
        <v>7.4</v>
      </c>
      <c r="F32" s="22" t="n"/>
      <c r="G32" s="23">
        <f>E32*F32*1</f>
        <v/>
      </c>
      <c r="H32" s="24" t="n">
        <v>5772</v>
      </c>
      <c r="I32" s="24" t="n">
        <v>9620</v>
      </c>
    </row>
    <row r="33">
      <c r="A33" s="25" t="inlineStr">
        <is>
          <t>06.34</t>
        </is>
      </c>
      <c r="B33" s="26" t="inlineStr">
        <is>
          <t>Sıhhi tesisat</t>
        </is>
      </c>
      <c r="C33" s="27" t="inlineStr">
        <is>
          <t>PVC pis su borusu Ø70</t>
        </is>
      </c>
      <c r="D33" s="28" t="inlineStr">
        <is>
          <t>m</t>
        </is>
      </c>
      <c r="E33" s="29" t="n">
        <v>0.3</v>
      </c>
      <c r="F33" s="22" t="n"/>
      <c r="G33" s="30">
        <f>E33*F33*1</f>
        <v/>
      </c>
      <c r="H33" s="31" t="n">
        <v>168</v>
      </c>
      <c r="I33" s="31" t="n">
        <v>285</v>
      </c>
    </row>
    <row r="34">
      <c r="A34" s="18" t="inlineStr">
        <is>
          <t>06.35</t>
        </is>
      </c>
      <c r="B34" s="2" t="inlineStr">
        <is>
          <t>Sıhhi tesisat</t>
        </is>
      </c>
      <c r="C34" s="19" t="inlineStr">
        <is>
          <t>PVC pis su borusu Ø50</t>
        </is>
      </c>
      <c r="D34" s="20" t="inlineStr">
        <is>
          <t>m</t>
        </is>
      </c>
      <c r="E34" s="21" t="n">
        <v>4.3</v>
      </c>
      <c r="F34" s="22" t="n"/>
      <c r="G34" s="23">
        <f>E34*F34*1</f>
        <v/>
      </c>
      <c r="H34" s="24" t="n">
        <v>1849</v>
      </c>
      <c r="I34" s="24" t="n">
        <v>3182</v>
      </c>
    </row>
    <row r="35">
      <c r="A35" s="25" t="inlineStr">
        <is>
          <t>06.36</t>
        </is>
      </c>
      <c r="B35" s="26" t="inlineStr">
        <is>
          <t>Sıhhi tesisat</t>
        </is>
      </c>
      <c r="C35" s="27" t="inlineStr">
        <is>
          <t>Pis su havalandırma bacası Ø70 — çatı kotuna kadar</t>
        </is>
      </c>
      <c r="D35" s="28" t="inlineStr">
        <is>
          <t>m</t>
        </is>
      </c>
      <c r="E35" s="29" t="n">
        <v>9.5</v>
      </c>
      <c r="F35" s="22" t="n"/>
      <c r="G35" s="30">
        <f>E35*F35*1</f>
        <v/>
      </c>
      <c r="H35" s="31" t="n">
        <v>5890</v>
      </c>
      <c r="I35" s="31" t="n">
        <v>9975</v>
      </c>
    </row>
    <row r="36">
      <c r="A36" s="18" t="inlineStr">
        <is>
          <t>06.37</t>
        </is>
      </c>
      <c r="B36" s="2" t="inlineStr">
        <is>
          <t>Sıhhi tesisat</t>
        </is>
      </c>
      <c r="C36" s="19" t="inlineStr">
        <is>
          <t>Paslanmaz sifonlu yer süzgeci 15×15</t>
        </is>
      </c>
      <c r="D36" s="20" t="inlineStr">
        <is>
          <t>adet</t>
        </is>
      </c>
      <c r="E36" s="21" t="n">
        <v>4</v>
      </c>
      <c r="F36" s="22" t="n"/>
      <c r="G36" s="23">
        <f>E36*F36*1</f>
        <v/>
      </c>
      <c r="H36" s="24" t="n">
        <v>5800</v>
      </c>
      <c r="I36" s="24" t="n">
        <v>9600</v>
      </c>
    </row>
    <row r="37">
      <c r="A37" s="25" t="inlineStr">
        <is>
          <t>06.38</t>
        </is>
      </c>
      <c r="B37" s="26" t="inlineStr">
        <is>
          <t>Sıhhi tesisat</t>
        </is>
      </c>
      <c r="C37" s="27" t="inlineStr">
        <is>
          <t>Küresel vana Ø25 / Ø20 (kolon ve branşman kesme)</t>
        </is>
      </c>
      <c r="D37" s="28" t="inlineStr">
        <is>
          <t>adet</t>
        </is>
      </c>
      <c r="E37" s="29" t="n">
        <v>8</v>
      </c>
      <c r="F37" s="22" t="n"/>
      <c r="G37" s="30">
        <f>E37*F37*1</f>
        <v/>
      </c>
      <c r="H37" s="31" t="n">
        <v>6240</v>
      </c>
      <c r="I37" s="31" t="n">
        <v>10400</v>
      </c>
    </row>
    <row r="38">
      <c r="A38" s="18" t="inlineStr">
        <is>
          <t>06.39</t>
        </is>
      </c>
      <c r="B38" s="2" t="inlineStr">
        <is>
          <t>Sıhhi tesisat</t>
        </is>
      </c>
      <c r="C38" s="19" t="inlineStr">
        <is>
          <t>Sayaç sonrası ana kesme vanası + pislik tutucu filtre</t>
        </is>
      </c>
      <c r="D38" s="20" t="inlineStr">
        <is>
          <t>takım</t>
        </is>
      </c>
      <c r="E38" s="21" t="n">
        <v>1</v>
      </c>
      <c r="F38" s="22" t="n"/>
      <c r="G38" s="23">
        <f>E38*F38*1</f>
        <v/>
      </c>
      <c r="H38" s="24" t="n">
        <v>6500</v>
      </c>
      <c r="I38" s="24" t="n">
        <v>11000</v>
      </c>
    </row>
    <row r="39">
      <c r="A39" s="25" t="inlineStr">
        <is>
          <t>06.40</t>
        </is>
      </c>
      <c r="B39" s="26" t="inlineStr">
        <is>
          <t>Sıhhi tesisat</t>
        </is>
      </c>
      <c r="C39" s="27" t="inlineStr">
        <is>
          <t>Elektrikli ani su ısıtıcı 6 kW (blok başına)</t>
        </is>
      </c>
      <c r="D39" s="28" t="inlineStr">
        <is>
          <t>adet</t>
        </is>
      </c>
      <c r="E39" s="29" t="n">
        <v>2</v>
      </c>
      <c r="F39" s="22" t="n"/>
      <c r="G39" s="30">
        <f>E39*F39*1</f>
        <v/>
      </c>
      <c r="H39" s="31" t="n">
        <v>19600</v>
      </c>
      <c r="I39" s="31" t="n">
        <v>34000</v>
      </c>
    </row>
    <row r="40">
      <c r="A40" s="18" t="inlineStr">
        <is>
          <t>06.41</t>
        </is>
      </c>
      <c r="B40" s="2" t="inlineStr">
        <is>
          <t>Sıhhi tesisat</t>
        </is>
      </c>
      <c r="C40" s="19" t="inlineStr">
        <is>
          <t>Tesisat basınç testi, dezenfeksiyon ve teslim raporu</t>
        </is>
      </c>
      <c r="D40" s="20" t="inlineStr">
        <is>
          <t>götürü</t>
        </is>
      </c>
      <c r="E40" s="21" t="n">
        <v>1</v>
      </c>
      <c r="F40" s="22" t="n"/>
      <c r="G40" s="23">
        <f>E40*F40*1</f>
        <v/>
      </c>
      <c r="H40" s="24" t="n">
        <v>9500</v>
      </c>
      <c r="I40" s="24" t="n">
        <v>17000</v>
      </c>
    </row>
    <row r="42">
      <c r="A42" s="39" t="n"/>
      <c r="B42" s="39" t="n"/>
      <c r="C42" s="40" t="inlineStr">
        <is>
          <t>MEKANIK TESISAT İMALAT TOPLAMI</t>
        </is>
      </c>
      <c r="D42" s="39" t="n"/>
      <c r="E42" s="39" t="n"/>
      <c r="F42" s="39" t="n"/>
      <c r="G42" s="41">
        <f>SUM(G4:G40)</f>
        <v/>
      </c>
      <c r="H42" s="41">
        <f>SUM(H4:H40)</f>
        <v/>
      </c>
      <c r="I42" s="41">
        <f>SUM(I4:I40)</f>
        <v/>
      </c>
    </row>
  </sheetData>
  <autoFilter ref="A3:I40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34" customWidth="1" min="4" max="4"/>
  </cols>
  <sheetData>
    <row r="1">
      <c r="A1" s="1" t="inlineStr">
        <is>
          <t>MEKANİK SİSTEM VERİLERİ</t>
        </is>
      </c>
    </row>
    <row r="2">
      <c r="A2" s="2" t="inlineStr">
        <is>
          <t>Hava dengesi · kanal · iklimlendirme · boru metrajı</t>
        </is>
      </c>
    </row>
    <row r="4">
      <c r="A4" s="16" t="inlineStr">
        <is>
          <t>HAVA DENGESİ</t>
        </is>
      </c>
      <c r="B4" s="16" t="n"/>
      <c r="C4" s="16" t="n"/>
      <c r="D4" s="16" t="n"/>
    </row>
    <row r="5">
      <c r="A5" s="15" t="inlineStr">
        <is>
          <t>Taze hava debisi</t>
        </is>
      </c>
      <c r="B5" s="42" t="n">
        <v>1000</v>
      </c>
      <c r="C5" s="7" t="inlineStr">
        <is>
          <t>m³/h</t>
        </is>
      </c>
      <c r="D5" s="15" t="n"/>
    </row>
    <row r="6">
      <c r="A6" s="43" t="inlineStr">
        <is>
          <t>Kişi başı taze hava</t>
        </is>
      </c>
      <c r="B6" s="44" t="n">
        <v>71</v>
      </c>
      <c r="C6" s="11" t="inlineStr">
        <is>
          <t>m³/h·kişi</t>
        </is>
      </c>
      <c r="D6" s="43" t="n"/>
    </row>
    <row r="7">
      <c r="A7" s="15" t="inlineStr">
        <is>
          <t>Hava değişim sayısı</t>
        </is>
      </c>
      <c r="B7" s="42" t="n">
        <v>3.01</v>
      </c>
      <c r="C7" s="7" t="inlineStr">
        <is>
          <t>h⁻¹</t>
        </is>
      </c>
      <c r="D7" s="15" t="n"/>
    </row>
    <row r="8">
      <c r="A8" s="43" t="inlineStr">
        <is>
          <t>Salon egzozu</t>
        </is>
      </c>
      <c r="B8" s="44" t="n">
        <v>760</v>
      </c>
      <c r="C8" s="11" t="inlineStr">
        <is>
          <t>m³/h</t>
        </is>
      </c>
      <c r="D8" s="43" t="n"/>
    </row>
    <row r="9">
      <c r="A9" s="15" t="inlineStr">
        <is>
          <t>Islak hacim egzozu</t>
        </is>
      </c>
      <c r="B9" s="42" t="n">
        <v>240</v>
      </c>
      <c r="C9" s="7" t="inlineStr">
        <is>
          <t>m³/h</t>
        </is>
      </c>
      <c r="D9" s="15" t="n"/>
    </row>
    <row r="11">
      <c r="A11" s="16" t="inlineStr">
        <is>
          <t>KANAL METRAJI</t>
        </is>
      </c>
      <c r="B11" s="16" t="n"/>
      <c r="C11" s="16" t="n"/>
      <c r="D11" s="16" t="n"/>
    </row>
    <row r="12">
      <c r="A12" s="43" t="inlineStr">
        <is>
          <t>Besleme ana hattı 500×150</t>
        </is>
      </c>
      <c r="B12" s="44" t="n">
        <v>10.3</v>
      </c>
      <c r="C12" s="11" t="inlineStr">
        <is>
          <t>m</t>
        </is>
      </c>
      <c r="D12" s="43" t="n"/>
    </row>
    <row r="13">
      <c r="A13" s="15" t="inlineStr">
        <is>
          <t>Egzoz ana hattı 400×150</t>
        </is>
      </c>
      <c r="B13" s="42" t="n">
        <v>9.1</v>
      </c>
      <c r="C13" s="7" t="inlineStr">
        <is>
          <t>m</t>
        </is>
      </c>
      <c r="D13" s="15" t="n"/>
    </row>
    <row r="14">
      <c r="A14" s="43" t="inlineStr">
        <is>
          <t>Islak hacim hattı Ø160</t>
        </is>
      </c>
      <c r="B14" s="44" t="n">
        <v>7.4</v>
      </c>
      <c r="C14" s="11" t="inlineStr">
        <is>
          <t>m</t>
        </is>
      </c>
      <c r="D14" s="43" t="n"/>
    </row>
    <row r="15">
      <c r="A15" s="15" t="inlineStr">
        <is>
          <t>Menfez branşmanı Ø200</t>
        </is>
      </c>
      <c r="B15" s="42" t="n">
        <v>8</v>
      </c>
      <c r="C15" s="7" t="inlineStr">
        <is>
          <t>m</t>
        </is>
      </c>
      <c r="D15" s="15" t="n"/>
    </row>
    <row r="16">
      <c r="A16" s="43" t="inlineStr">
        <is>
          <t>Valf branşmanı Ø125</t>
        </is>
      </c>
      <c r="B16" s="44" t="n">
        <v>4.6</v>
      </c>
      <c r="C16" s="11" t="inlineStr">
        <is>
          <t>m</t>
        </is>
      </c>
      <c r="D16" s="43" t="n"/>
    </row>
    <row r="18">
      <c r="A18" s="16" t="inlineStr">
        <is>
          <t>İKLİMLENDİRME</t>
        </is>
      </c>
      <c r="B18" s="16" t="n"/>
      <c r="C18" s="16" t="n"/>
      <c r="D18" s="16" t="n"/>
    </row>
    <row r="19">
      <c r="A19" s="15" t="inlineStr">
        <is>
          <t>Hesaplanan soğutma yükü</t>
        </is>
      </c>
      <c r="B19" s="42" t="n">
        <v>57000</v>
      </c>
      <c r="C19" s="7" t="inlineStr">
        <is>
          <t>BTU/h</t>
        </is>
      </c>
      <c r="D19" s="15" t="n"/>
    </row>
    <row r="20">
      <c r="A20" s="43" t="inlineStr">
        <is>
          <t>Kurulu kapasite</t>
        </is>
      </c>
      <c r="B20" s="44" t="n">
        <v>66000</v>
      </c>
      <c r="C20" s="11" t="inlineStr">
        <is>
          <t>BTU/h</t>
        </is>
      </c>
      <c r="D20" s="43" t="n"/>
    </row>
    <row r="21">
      <c r="A21" s="15" t="inlineStr">
        <is>
          <t>Kapasite marjı</t>
        </is>
      </c>
      <c r="B21" s="42" t="n">
        <v>16</v>
      </c>
      <c r="C21" s="7" t="inlineStr">
        <is>
          <t>%</t>
        </is>
      </c>
      <c r="D21" s="15" t="n"/>
    </row>
    <row r="22">
      <c r="A22" s="43" t="inlineStr">
        <is>
          <t>İç ünite adedi</t>
        </is>
      </c>
      <c r="B22" s="44" t="n">
        <v>4</v>
      </c>
      <c r="C22" s="11" t="inlineStr">
        <is>
          <t>adet</t>
        </is>
      </c>
      <c r="D22" s="43" t="n"/>
    </row>
    <row r="23">
      <c r="A23" s="15" t="inlineStr">
        <is>
          <t>Bakır hat uzunluğu</t>
        </is>
      </c>
      <c r="B23" s="42" t="n">
        <v>33.5</v>
      </c>
      <c r="C23" s="7" t="inlineStr">
        <is>
          <t>m</t>
        </is>
      </c>
      <c r="D23" s="15" t="n"/>
    </row>
    <row r="24">
      <c r="A24" s="43" t="inlineStr">
        <is>
          <t>Drenaj hattı uzunluğu</t>
        </is>
      </c>
      <c r="B24" s="44" t="n">
        <v>31.6</v>
      </c>
      <c r="C24" s="11" t="inlineStr">
        <is>
          <t>m</t>
        </is>
      </c>
      <c r="D24" s="43" t="n"/>
    </row>
    <row r="26">
      <c r="A26" s="16" t="inlineStr">
        <is>
          <t>SIHHİ TESİSAT</t>
        </is>
      </c>
      <c r="B26" s="16" t="n"/>
      <c r="C26" s="16" t="n"/>
      <c r="D26" s="16" t="n"/>
    </row>
    <row r="27">
      <c r="A27" s="15" t="inlineStr">
        <is>
          <t>Temiz su Ø25</t>
        </is>
      </c>
      <c r="B27" s="42" t="n">
        <v>6.9</v>
      </c>
      <c r="C27" s="7" t="inlineStr">
        <is>
          <t>m</t>
        </is>
      </c>
      <c r="D27" s="15" t="n"/>
    </row>
    <row r="28">
      <c r="A28" s="43" t="inlineStr">
        <is>
          <t>Temiz su Ø20</t>
        </is>
      </c>
      <c r="B28" s="44" t="n">
        <v>3.1</v>
      </c>
      <c r="C28" s="11" t="inlineStr">
        <is>
          <t>m</t>
        </is>
      </c>
      <c r="D28" s="43" t="n"/>
    </row>
    <row r="29">
      <c r="A29" s="15" t="inlineStr">
        <is>
          <t>Sıcak su Ø20 izoleli</t>
        </is>
      </c>
      <c r="B29" s="42" t="n">
        <v>4.2</v>
      </c>
      <c r="C29" s="7" t="inlineStr">
        <is>
          <t>m</t>
        </is>
      </c>
      <c r="D29" s="15" t="n"/>
    </row>
    <row r="30">
      <c r="A30" s="43" t="inlineStr">
        <is>
          <t>Pis su Ø100</t>
        </is>
      </c>
      <c r="B30" s="44" t="n">
        <v>7.4</v>
      </c>
      <c r="C30" s="11" t="inlineStr">
        <is>
          <t>m</t>
        </is>
      </c>
      <c r="D30" s="43" t="n"/>
    </row>
    <row r="31">
      <c r="A31" s="15" t="inlineStr">
        <is>
          <t>Pis su Ø70</t>
        </is>
      </c>
      <c r="B31" s="42" t="n">
        <v>0.3</v>
      </c>
      <c r="C31" s="7" t="inlineStr">
        <is>
          <t>m</t>
        </is>
      </c>
      <c r="D31" s="15" t="n"/>
    </row>
    <row r="32">
      <c r="A32" s="43" t="inlineStr">
        <is>
          <t>Pis su Ø50</t>
        </is>
      </c>
      <c r="B32" s="44" t="n">
        <v>4.3</v>
      </c>
      <c r="C32" s="11" t="inlineStr">
        <is>
          <t>m</t>
        </is>
      </c>
      <c r="D32" s="43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8" customWidth="1" min="3" max="3"/>
  </cols>
  <sheetData>
    <row r="1">
      <c r="A1" s="1" t="inlineStr">
        <is>
          <t>VARSAYIMLAR VE DOĞRULANACAKLAR</t>
        </is>
      </c>
    </row>
    <row r="2">
      <c r="A2" s="2" t="inlineStr">
        <is>
          <t>Bu değerler ölçülmemiştir</t>
        </is>
      </c>
    </row>
    <row r="3">
      <c r="A3" s="3" t="inlineStr">
        <is>
          <t>Parametre</t>
        </is>
      </c>
      <c r="B3" s="3" t="inlineStr">
        <is>
          <t>Değer</t>
        </is>
      </c>
      <c r="C3" s="3" t="inlineStr">
        <is>
          <t>Not</t>
        </is>
      </c>
    </row>
    <row r="4">
      <c r="A4" s="8" t="inlineStr">
        <is>
          <t>Tavan yüksekliği</t>
        </is>
      </c>
      <c r="B4" s="45" t="inlineStr">
        <is>
          <t>3,20 m</t>
        </is>
      </c>
      <c r="C4" s="46" t="inlineStr">
        <is>
          <t>VARSAYIM — iç hacim, kanal güzergâhı ve armatür adedinin girdisi</t>
        </is>
      </c>
    </row>
    <row r="5">
      <c r="A5" s="4" t="inlineStr">
        <is>
          <t>Geometri doğruluğu</t>
        </is>
      </c>
      <c r="B5" s="47" t="inlineStr">
        <is>
          <t>±%3</t>
        </is>
      </c>
      <c r="C5" s="48" t="inlineStr">
        <is>
          <t>Raster paftadan vektörleştirme — DXF (R2010) ile kesinleştirilmeli</t>
        </is>
      </c>
    </row>
    <row r="6">
      <c r="A6" s="8" t="inlineStr">
        <is>
          <t>Net iç kullanım alanı</t>
        </is>
      </c>
      <c r="B6" s="45" t="inlineStr">
        <is>
          <t>103,78 m²</t>
        </is>
      </c>
      <c r="C6" s="46" t="inlineStr">
        <is>
          <t>Pafta m² etiketlerinden kalibre</t>
        </is>
      </c>
    </row>
    <row r="7">
      <c r="A7" s="49" t="inlineStr">
        <is>
          <t>Mevcut pis su bağlantı kotu</t>
        </is>
      </c>
      <c r="B7" s="50" t="inlineStr">
        <is>
          <t>BİLİNMİYOR</t>
        </is>
      </c>
      <c r="C7" s="51" t="inlineStr">
        <is>
          <t>Seçenek A / B kararını belirler — söküm sonrası ilk iş</t>
        </is>
      </c>
    </row>
    <row r="8">
      <c r="A8" s="8" t="inlineStr">
        <is>
          <t>Doğalgaz bağlantısı</t>
        </is>
      </c>
      <c r="B8" s="45" t="inlineStr">
        <is>
          <t>Yok varsayıldı</t>
        </is>
      </c>
      <c r="C8" s="46" t="inlineStr">
        <is>
          <t>Varsa sıcak su çözümü kombiye revize edilir</t>
        </is>
      </c>
    </row>
    <row r="9">
      <c r="A9" s="4" t="inlineStr">
        <is>
          <t>Havalandırma bacası</t>
        </is>
      </c>
      <c r="B9" s="47" t="inlineStr">
        <is>
          <t>9,5 m varsayım</t>
        </is>
      </c>
      <c r="C9" s="48" t="inlineStr">
        <is>
          <t>Çatı kotu ölçülecek; bina bacası varsa kullanılabilir</t>
        </is>
      </c>
    </row>
    <row r="10">
      <c r="A10" s="8" t="inlineStr">
        <is>
          <t>Dış ünite montaj yüzeyi</t>
        </is>
      </c>
      <c r="B10" s="45" t="inlineStr">
        <is>
          <t>Arka cephe duvarı</t>
        </is>
      </c>
      <c r="C10" s="46" t="inlineStr">
        <is>
          <t>Taşıyıcılık ve yönetim onayı doğrulanacak</t>
        </is>
      </c>
    </row>
    <row r="11">
      <c r="A11" s="4" t="inlineStr">
        <is>
          <t>Kanal güzergâhı</t>
        </is>
      </c>
      <c r="B11" s="47" t="inlineStr">
        <is>
          <t>Şematik</t>
        </is>
      </c>
      <c r="C11" s="48" t="inlineStr">
        <is>
          <t>Kolon ve kiriş konumları yerinde tespit edilecek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2026-09-14T12:58:56Z</dcterms:created>
  <dcterms:modified xsi:type="dcterms:W3CDTF">2026-09-14T12:58:56Z</dcterms:modified>
</cp:coreProperties>
</file>