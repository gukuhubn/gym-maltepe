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lef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4" fontId="13" fillId="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13" fillId="6" borderId="1" applyAlignment="1" pivotButton="0" quotePrefix="0" xfId="0">
      <alignment horizontal="right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A · 13 Eylül 2026 · Eylül 2026 piyasa mertebesi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IFERROR((C7+D7)/2/(($C$17+$D$17)/2),0)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IFERROR((C8+D8)/2/(($C$17+$D$17)/2),0)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metraj'!G18+'2 · Detay metraj'!G19+'2 · Detay metraj'!G20</f>
        <v/>
      </c>
      <c r="C9" s="9">
        <f>'2 · Detay metraj'!H12+'2 · Detay metraj'!H13+'2 · Detay metraj'!H14+'2 · Detay metraj'!H15+'2 · Detay metraj'!H16+'2 · Detay metraj'!H17+'2 · Detay metraj'!H18+'2 · Detay metraj'!H19+'2 · Detay metraj'!H20</f>
        <v/>
      </c>
      <c r="D9" s="9">
        <f>'2 · Detay metraj'!I12+'2 · Detay metraj'!I13+'2 · Detay metraj'!I14+'2 · Detay metraj'!I15+'2 · Detay metraj'!I16+'2 · Detay metraj'!I17+'2 · Detay metraj'!I18+'2 · Detay metraj'!I19+'2 · Detay metraj'!I20</f>
        <v/>
      </c>
      <c r="E9" s="10" t="n">
        <v>9</v>
      </c>
      <c r="F9" s="11">
        <f>IFERROR((C9+D9)/2/(($C$17+$D$17)/2),0)</f>
        <v/>
      </c>
    </row>
    <row r="10">
      <c r="A10" s="12" t="inlineStr">
        <is>
          <t>ZEMİN</t>
        </is>
      </c>
      <c r="B10" s="13">
        <f>'2 · Detay metraj'!G21+'2 · Detay metraj'!G22+'2 · Detay metraj'!G23+'2 · Detay metraj'!G24+'2 · Detay metraj'!G25</f>
        <v/>
      </c>
      <c r="C10" s="14">
        <f>'2 · Detay metraj'!H21+'2 · Detay metraj'!H22+'2 · Detay metraj'!H23+'2 · Detay metraj'!H24+'2 · Detay metraj'!H25</f>
        <v/>
      </c>
      <c r="D10" s="14">
        <f>'2 · Detay metraj'!I21+'2 · Detay metraj'!I22+'2 · Detay metraj'!I23+'2 · Detay metraj'!I24+'2 · Detay metraj'!I25</f>
        <v/>
      </c>
      <c r="E10" s="15" t="n">
        <v>5</v>
      </c>
      <c r="F10" s="16">
        <f>IFERROR((C10+D10)/2/(($C$17+$D$17)/2),0)</f>
        <v/>
      </c>
    </row>
    <row r="11">
      <c r="A11" s="7" t="inlineStr">
        <is>
          <t>ELEKTRİK</t>
        </is>
      </c>
      <c r="B11" s="8">
        <f>'2 · Detay metraj'!G26+'2 · Detay metraj'!G27+'2 · Detay metraj'!G28+'2 · Detay metraj'!G29+'2 · Detay metraj'!G30+'2 · Detay metraj'!G31</f>
        <v/>
      </c>
      <c r="C11" s="9">
        <f>'2 · Detay metraj'!H26+'2 · Detay metraj'!H27+'2 · Detay metraj'!H28+'2 · Detay metraj'!H29+'2 · Detay metraj'!H30+'2 · Detay metraj'!H31</f>
        <v/>
      </c>
      <c r="D11" s="9">
        <f>'2 · Detay metraj'!I26+'2 · Detay metraj'!I27+'2 · Detay metraj'!I28+'2 · Detay metraj'!I29+'2 · Detay metraj'!I30+'2 · Detay metraj'!I31</f>
        <v/>
      </c>
      <c r="E11" s="10" t="n">
        <v>6</v>
      </c>
      <c r="F11" s="11">
        <f>IFERROR((C11+D11)/2/(($C$17+$D$17)/2),0)</f>
        <v/>
      </c>
    </row>
    <row r="12">
      <c r="A12" s="12" t="inlineStr">
        <is>
          <t>MEKANİK</t>
        </is>
      </c>
      <c r="B12" s="13">
        <f>'2 · Detay metraj'!G32+'2 · Detay metraj'!G33+'2 · Detay metraj'!G34+'2 · Detay metraj'!G35</f>
        <v/>
      </c>
      <c r="C12" s="14">
        <f>'2 · Detay metraj'!H32+'2 · Detay metraj'!H33+'2 · Detay metraj'!H34+'2 · Detay metraj'!H35</f>
        <v/>
      </c>
      <c r="D12" s="14">
        <f>'2 · Detay metraj'!I32+'2 · Detay metraj'!I33+'2 · Detay metraj'!I34+'2 · Detay metraj'!I35</f>
        <v/>
      </c>
      <c r="E12" s="15" t="n">
        <v>4</v>
      </c>
      <c r="F12" s="16">
        <f>IFERROR((C12+D12)/2/(($C$17+$D$17)/2),0)</f>
        <v/>
      </c>
    </row>
    <row r="13">
      <c r="A13" s="7" t="inlineStr">
        <is>
          <t>BOYA · DEKOR</t>
        </is>
      </c>
      <c r="B13" s="8">
        <f>'2 · Detay metraj'!G36+'2 · Detay metraj'!G37+'2 · Detay metraj'!G38+'2 · Detay metraj'!G39</f>
        <v/>
      </c>
      <c r="C13" s="9">
        <f>'2 · Detay metraj'!H36+'2 · Detay metraj'!H37+'2 · Detay metraj'!H38+'2 · Detay metraj'!H39</f>
        <v/>
      </c>
      <c r="D13" s="9">
        <f>'2 · Detay metraj'!I36+'2 · Detay metraj'!I37+'2 · Detay metraj'!I38+'2 · Detay metraj'!I39</f>
        <v/>
      </c>
      <c r="E13" s="10" t="n">
        <v>4</v>
      </c>
      <c r="F13" s="11">
        <f>IFERROR((C13+D13)/2/(($C$17+$D$17)/2),0)</f>
        <v/>
      </c>
    </row>
    <row r="14">
      <c r="A14" s="12" t="inlineStr">
        <is>
          <t>MARANGOZ</t>
        </is>
      </c>
      <c r="B14" s="13">
        <f>'2 · Detay metraj'!G40+'2 · Detay metraj'!G41+'2 · Detay metraj'!G42</f>
        <v/>
      </c>
      <c r="C14" s="14">
        <f>'2 · Detay metraj'!H40+'2 · Detay metraj'!H41+'2 · Detay metraj'!H42</f>
        <v/>
      </c>
      <c r="D14" s="14">
        <f>'2 · Detay metraj'!I40+'2 · Detay metraj'!I41+'2 · Detay metraj'!I42</f>
        <v/>
      </c>
      <c r="E14" s="15" t="n">
        <v>3</v>
      </c>
      <c r="F14" s="16">
        <f>IFERROR((C14+D14)/2/(($C$17+$D$17)/2),0)</f>
        <v/>
      </c>
    </row>
    <row r="15">
      <c r="A15" s="7" t="inlineStr">
        <is>
          <t>YANGIN · GÜVENLİK</t>
        </is>
      </c>
      <c r="B15" s="8">
        <f>'2 · Detay metraj'!G43+'2 · Detay metraj'!G44+'2 · Detay metraj'!G45+'2 · Detay metraj'!G46+'2 · Detay metraj'!G47</f>
        <v/>
      </c>
      <c r="C15" s="9">
        <f>'2 · Detay metraj'!H43+'2 · Detay metraj'!H44+'2 · Detay metraj'!H45+'2 · Detay metraj'!H46+'2 · Detay metraj'!H47</f>
        <v/>
      </c>
      <c r="D15" s="9">
        <f>'2 · Detay metraj'!I43+'2 · Detay metraj'!I44+'2 · Detay metraj'!I45+'2 · Detay metraj'!I46+'2 · Detay metraj'!I47</f>
        <v/>
      </c>
      <c r="E15" s="10" t="n">
        <v>5</v>
      </c>
      <c r="F15" s="11">
        <f>IFERROR((C15+D15)/2/(($C$17+$D$17)/2),0)</f>
        <v/>
      </c>
    </row>
    <row r="16">
      <c r="A16" s="12" t="inlineStr">
        <is>
          <t>TABELA · DIŞ</t>
        </is>
      </c>
      <c r="B16" s="13">
        <f>'2 · Detay metraj'!G48+'2 · Detay metraj'!G49</f>
        <v/>
      </c>
      <c r="C16" s="14">
        <f>'2 · Detay metraj'!H48+'2 · Detay metraj'!H49</f>
        <v/>
      </c>
      <c r="D16" s="14">
        <f>'2 · Detay metraj'!I48+'2 · Detay metraj'!I49</f>
        <v/>
      </c>
      <c r="E16" s="15" t="n">
        <v>2</v>
      </c>
      <c r="F16" s="16">
        <f>IFERROR((C16+D16)/2/(($C$17+$D$17)/2),0)</f>
        <v/>
      </c>
    </row>
    <row r="17">
      <c r="A17" s="17" t="inlineStr">
        <is>
          <t>İMALAT ARA TOPLAMI</t>
        </is>
      </c>
      <c r="B17" s="18">
        <f>SUM(B7:B16)</f>
        <v/>
      </c>
      <c r="C17" s="18">
        <f>SUM(C7:C16)</f>
        <v/>
      </c>
      <c r="D17" s="18">
        <f>SUM(D7:D16)</f>
        <v/>
      </c>
      <c r="E17" s="19" t="n">
        <v>46</v>
      </c>
      <c r="F17" s="20" t="n">
        <v>1</v>
      </c>
    </row>
    <row r="18">
      <c r="A18" s="21" t="inlineStr">
        <is>
          <t>Şantiye genel giderleri (%9)</t>
        </is>
      </c>
      <c r="B18" s="22">
        <f>B17*0.09</f>
        <v/>
      </c>
      <c r="C18" s="23">
        <f>C17*0.09</f>
        <v/>
      </c>
      <c r="D18" s="23">
        <f>D17*0.09</f>
        <v/>
      </c>
      <c r="E18" s="24" t="n"/>
      <c r="F18" s="24" t="n"/>
    </row>
    <row r="19">
      <c r="A19" s="21" t="inlineStr">
        <is>
          <t>Beklenmedik giderler (%15)</t>
        </is>
      </c>
      <c r="B19" s="22">
        <f>(B17+B18)*0.15</f>
        <v/>
      </c>
      <c r="C19" s="23">
        <f>(C17+C18)*0.15</f>
        <v/>
      </c>
      <c r="D19" s="23">
        <f>(D17+D18)*0.15</f>
        <v/>
      </c>
      <c r="E19" s="24" t="n"/>
      <c r="F19" s="24" t="n"/>
    </row>
    <row r="20">
      <c r="A20" s="25" t="inlineStr">
        <is>
          <t>GENEL TOPLAM</t>
        </is>
      </c>
      <c r="B20" s="26">
        <f>B17+B18+B19</f>
        <v/>
      </c>
      <c r="C20" s="26">
        <f>C17+C18+C19</f>
        <v/>
      </c>
      <c r="D20" s="26">
        <f>D17+D18+D19</f>
        <v/>
      </c>
      <c r="E20" s="25" t="n"/>
      <c r="F20" s="25" t="n"/>
    </row>
    <row r="22">
      <c r="A22" s="7" t="inlineStr">
        <is>
          <t>m² başına (net iç alan)</t>
        </is>
      </c>
      <c r="B22" s="8">
        <f>B20/103.78</f>
        <v/>
      </c>
      <c r="C22" s="8">
        <f>C20/103.78</f>
        <v/>
      </c>
      <c r="D22" s="8">
        <f>D20/103.78</f>
        <v/>
      </c>
    </row>
    <row r="24">
      <c r="A24" s="27" t="inlineStr">
        <is>
          <t>AÇILIŞ ÖNCESİ NAKİT İHTİYACI</t>
        </is>
      </c>
      <c r="B24" s="27" t="n"/>
      <c r="C24" s="27" t="n"/>
      <c r="D24" s="27" t="n"/>
      <c r="E24" s="27" t="n"/>
      <c r="F24" s="27" t="n"/>
    </row>
    <row r="25">
      <c r="A25" s="28" t="inlineStr">
        <is>
          <t>Tadilat (genel toplam)</t>
        </is>
      </c>
      <c r="B25" s="13">
        <f>B20</f>
        <v/>
      </c>
      <c r="C25" s="14">
        <f>C20</f>
        <v/>
      </c>
      <c r="D25" s="14">
        <f>D20</f>
        <v/>
      </c>
    </row>
    <row r="26">
      <c r="A26" s="28" t="inlineStr">
        <is>
          <t>Ruhsat · harç · GSİM tescil · itfaiye · sağlık raporu</t>
        </is>
      </c>
      <c r="B26" s="29" t="n"/>
      <c r="C26" s="14" t="n">
        <v>85000</v>
      </c>
      <c r="D26" s="14" t="n">
        <v>175000</v>
      </c>
      <c r="E26" s="28" t="n"/>
      <c r="F26" s="28" t="n"/>
    </row>
    <row r="27">
      <c r="A27" s="30" t="inlineStr">
        <is>
          <t>Proje / mimari onaylı 1/100 vaziyet planı · müşavirlik</t>
        </is>
      </c>
      <c r="B27" s="29" t="n"/>
      <c r="C27" s="9" t="n">
        <v>45000</v>
      </c>
      <c r="D27" s="9" t="n">
        <v>95000</v>
      </c>
      <c r="E27" s="30" t="n"/>
      <c r="F27" s="30" t="n"/>
    </row>
    <row r="28">
      <c r="A28" s="28" t="inlineStr">
        <is>
          <t>İlk 3 ay kira</t>
        </is>
      </c>
      <c r="B28" s="29" t="n"/>
      <c r="C28" s="14" t="n">
        <v>84000</v>
      </c>
      <c r="D28" s="14" t="n">
        <v>156000</v>
      </c>
      <c r="E28" s="28" t="n"/>
      <c r="F28" s="28" t="n"/>
    </row>
    <row r="29">
      <c r="A29" s="30" t="inlineStr">
        <is>
          <t>Depozito (3 ay)</t>
        </is>
      </c>
      <c r="B29" s="29" t="n"/>
      <c r="C29" s="9" t="n">
        <v>84000</v>
      </c>
      <c r="D29" s="9" t="n">
        <v>156000</v>
      </c>
      <c r="E29" s="30" t="n"/>
      <c r="F29" s="30" t="n"/>
    </row>
    <row r="30">
      <c r="A30" s="28" t="inlineStr">
        <is>
          <t>Personel (açılış öncesi 2 ay · 2 kişi)</t>
        </is>
      </c>
      <c r="B30" s="29" t="n"/>
      <c r="C30" s="14" t="n">
        <v>160000</v>
      </c>
      <c r="D30" s="14" t="n">
        <v>280000</v>
      </c>
      <c r="E30" s="28" t="n"/>
      <c r="F30" s="28" t="n"/>
    </row>
    <row r="31">
      <c r="A31" s="30" t="inlineStr">
        <is>
          <t>Pazarlama · açılış kampanyası · dijital</t>
        </is>
      </c>
      <c r="B31" s="29" t="n"/>
      <c r="C31" s="9" t="n">
        <v>95000</v>
      </c>
      <c r="D31" s="9" t="n">
        <v>210000</v>
      </c>
      <c r="E31" s="30" t="n"/>
      <c r="F31" s="30" t="n"/>
    </row>
    <row r="32">
      <c r="A32" s="28" t="inlineStr">
        <is>
          <t>Yazılım (üyelik/POS), sarf, ilk stok</t>
        </is>
      </c>
      <c r="B32" s="29" t="n"/>
      <c r="C32" s="14" t="n">
        <v>55000</v>
      </c>
      <c r="D32" s="14" t="n">
        <v>120000</v>
      </c>
      <c r="E32" s="28" t="n"/>
      <c r="F32" s="28" t="n"/>
    </row>
    <row r="33">
      <c r="A33" s="31" t="inlineStr">
        <is>
          <t>TOPLAM AÇILIŞ ÖNCESİ NAKİT</t>
        </is>
      </c>
      <c r="B33" s="32">
        <f>SUM(B25:B32)</f>
        <v/>
      </c>
      <c r="C33" s="32">
        <f>SUM(C25:C32)</f>
        <v/>
      </c>
      <c r="D33" s="32">
        <f>SUM(D25:D32)</f>
        <v/>
      </c>
      <c r="E33" s="31" t="n"/>
      <c r="F33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A · 13 Eylül 2026 · Fiyat referansı: Eylül 2026 piyasa mertebesi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29" t="n"/>
      <c r="G4" s="38">
        <f>E4*F4*K4</f>
        <v/>
      </c>
      <c r="H4" s="39">
        <f>18680*K4</f>
        <v/>
      </c>
      <c r="I4" s="39">
        <f>33210*K4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29" t="n"/>
      <c r="G5" s="45">
        <f>E5*F5*K5</f>
        <v/>
      </c>
      <c r="H5" s="46">
        <f>26983*K5</f>
        <v/>
      </c>
      <c r="I5" s="46">
        <f>46701*K5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29" t="n"/>
      <c r="G6" s="38">
        <f>E6*F6*K6</f>
        <v/>
      </c>
      <c r="H6" s="39">
        <f>6357*K6</f>
        <v/>
      </c>
      <c r="I6" s="39">
        <f>10373*K6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29" t="n"/>
      <c r="G7" s="45">
        <f>E7*F7*K7</f>
        <v/>
      </c>
      <c r="H7" s="46">
        <f>28000*K7</f>
        <v/>
      </c>
      <c r="I7" s="46">
        <f>55000*K7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44.6</v>
      </c>
      <c r="F8" s="29" t="n"/>
      <c r="G8" s="38">
        <f>E8*F8*K8</f>
        <v/>
      </c>
      <c r="H8" s="39">
        <f>26760*K8</f>
        <v/>
      </c>
      <c r="I8" s="39">
        <f>42370*K8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20.1</v>
      </c>
      <c r="F9" s="29" t="n"/>
      <c r="G9" s="45">
        <f>E9*F9*K9</f>
        <v/>
      </c>
      <c r="H9" s="46">
        <f>5226*K9</f>
        <v/>
      </c>
      <c r="I9" s="46">
        <f>8442*K9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129.3</v>
      </c>
      <c r="F10" s="29" t="n"/>
      <c r="G10" s="38">
        <f>E10*F10*K10</f>
        <v/>
      </c>
      <c r="H10" s="39">
        <f>28446*K10</f>
        <v/>
      </c>
      <c r="I10" s="39">
        <f>49134*K10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29" t="n"/>
      <c r="G11" s="45">
        <f>E11*F11*K11</f>
        <v/>
      </c>
      <c r="H11" s="46">
        <f>9000*K11</f>
        <v/>
      </c>
      <c r="I11" s="46">
        <f>15000*K11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03.01</t>
        </is>
      </c>
      <c r="B12" s="2" t="inlineStr">
        <is>
          <t>ISLAK HACİM</t>
        </is>
      </c>
      <c r="C12" s="35" t="inlineStr">
        <is>
          <t>Pis su + temiz su tesisatı yenileme (2 duş + 2 WC + lavabo)</t>
        </is>
      </c>
      <c r="D12" s="36" t="inlineStr">
        <is>
          <t>götürü</t>
        </is>
      </c>
      <c r="E12" s="37" t="n">
        <v>1</v>
      </c>
      <c r="F12" s="29" t="n"/>
      <c r="G12" s="38">
        <f>E12*F12*K12</f>
        <v/>
      </c>
      <c r="H12" s="39">
        <f>85000*K12</f>
        <v/>
      </c>
      <c r="I12" s="39">
        <f>150000*K12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03.02</t>
        </is>
      </c>
      <c r="B13" s="5" t="inlineStr">
        <is>
          <t>ISLAK HACİM</t>
        </is>
      </c>
      <c r="C13" s="42" t="inlineStr">
        <is>
          <t>Su yalıtımı — çift bileşenli, dönüş 30 cm</t>
        </is>
      </c>
      <c r="D13" s="43" t="inlineStr">
        <is>
          <t>m²</t>
        </is>
      </c>
      <c r="E13" s="44" t="n">
        <v>24.3</v>
      </c>
      <c r="F13" s="29" t="n"/>
      <c r="G13" s="45">
        <f>E13*F13*K13</f>
        <v/>
      </c>
      <c r="H13" s="46">
        <f>11664*K13</f>
        <v/>
      </c>
      <c r="I13" s="46">
        <f>18954*K13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03.03</t>
        </is>
      </c>
      <c r="B14" s="2" t="inlineStr">
        <is>
          <t>ISLAK HACİM</t>
        </is>
      </c>
      <c r="C14" s="35" t="inlineStr">
        <is>
          <t>Zemin seramiği R11 kaymaz (malzeme + işçilik)</t>
        </is>
      </c>
      <c r="D14" s="36" t="inlineStr">
        <is>
          <t>m²</t>
        </is>
      </c>
      <c r="E14" s="37" t="n">
        <v>16.73</v>
      </c>
      <c r="F14" s="29" t="n"/>
      <c r="G14" s="38">
        <f>E14*F14*K14</f>
        <v/>
      </c>
      <c r="H14" s="39">
        <f>12548*K14</f>
        <v/>
      </c>
      <c r="I14" s="39">
        <f>20076*K14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03.04</t>
        </is>
      </c>
      <c r="B15" s="5" t="inlineStr">
        <is>
          <t>ISLAK HACİM</t>
        </is>
      </c>
      <c r="C15" s="42" t="inlineStr">
        <is>
          <t>Duvar fayansı h=2,20 m (malzeme + işçilik)</t>
        </is>
      </c>
      <c r="D15" s="43" t="inlineStr">
        <is>
          <t>m²</t>
        </is>
      </c>
      <c r="E15" s="44" t="n">
        <v>55.7</v>
      </c>
      <c r="F15" s="29" t="n"/>
      <c r="G15" s="45">
        <f>E15*F15*K15</f>
        <v/>
      </c>
      <c r="H15" s="46">
        <f>47345*K15</f>
        <v/>
      </c>
      <c r="I15" s="46">
        <f>75195*K15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03.05</t>
        </is>
      </c>
      <c r="B16" s="2" t="inlineStr">
        <is>
          <t>ISLAK HACİM</t>
        </is>
      </c>
      <c r="C16" s="35" t="inlineStr">
        <is>
          <t>Vitrifiye seti — 2 klozet, 2 lavabo, armatürler</t>
        </is>
      </c>
      <c r="D16" s="36" t="inlineStr">
        <is>
          <t>takım</t>
        </is>
      </c>
      <c r="E16" s="37" t="n">
        <v>2</v>
      </c>
      <c r="F16" s="29" t="n"/>
      <c r="G16" s="38">
        <f>E16*F16*K16</f>
        <v/>
      </c>
      <c r="H16" s="39">
        <f>24000*K16</f>
        <v/>
      </c>
      <c r="I16" s="39">
        <f>44000*K16</f>
        <v/>
      </c>
      <c r="J16" s="40" t="inlineStr">
        <is>
          <t>M</t>
        </is>
      </c>
      <c r="K16" s="40" t="n">
        <v>1</v>
      </c>
    </row>
    <row r="17">
      <c r="A17" s="41" t="inlineStr">
        <is>
          <t>03.06</t>
        </is>
      </c>
      <c r="B17" s="5" t="inlineStr">
        <is>
          <t>ISLAK HACİM</t>
        </is>
      </c>
      <c r="C17" s="42" t="inlineStr">
        <is>
          <t>Duş teknesi + cam duşakabin (2 adet)</t>
        </is>
      </c>
      <c r="D17" s="43" t="inlineStr">
        <is>
          <t>adet</t>
        </is>
      </c>
      <c r="E17" s="44" t="n">
        <v>2</v>
      </c>
      <c r="F17" s="29" t="n"/>
      <c r="G17" s="45">
        <f>E17*F17*K17</f>
        <v/>
      </c>
      <c r="H17" s="46">
        <f>32000*K17</f>
        <v/>
      </c>
      <c r="I17" s="46">
        <f>60000*K17</f>
        <v/>
      </c>
      <c r="J17" s="47" t="inlineStr">
        <is>
          <t>M</t>
        </is>
      </c>
      <c r="K17" s="47" t="n">
        <v>1</v>
      </c>
    </row>
    <row r="18">
      <c r="A18" s="34" t="inlineStr">
        <is>
          <t>03.07</t>
        </is>
      </c>
      <c r="B18" s="2" t="inlineStr">
        <is>
          <t>ISLAK HACİM</t>
        </is>
      </c>
      <c r="C18" s="35" t="inlineStr">
        <is>
          <t>Sıcak su — elektrikli ani ısıtıcı 2×6 kW + hat</t>
        </is>
      </c>
      <c r="D18" s="36" t="inlineStr">
        <is>
          <t>takım</t>
        </is>
      </c>
      <c r="E18" s="37" t="n">
        <v>1</v>
      </c>
      <c r="F18" s="29" t="n"/>
      <c r="G18" s="38">
        <f>E18*F18*K18</f>
        <v/>
      </c>
      <c r="H18" s="39">
        <f>28000*K18</f>
        <v/>
      </c>
      <c r="I18" s="39">
        <f>52000*K18</f>
        <v/>
      </c>
      <c r="J18" s="40" t="inlineStr">
        <is>
          <t>M</t>
        </is>
      </c>
      <c r="K18" s="40" t="n">
        <v>1</v>
      </c>
    </row>
    <row r="19">
      <c r="A19" s="48" t="inlineStr">
        <is>
          <t>03.08</t>
        </is>
      </c>
      <c r="B19" s="49" t="inlineStr">
        <is>
          <t>ISLAK HACİM</t>
        </is>
      </c>
      <c r="C19" s="50" t="inlineStr">
        <is>
          <t>SEÇENEK A — ıslak hacim zemini 15–20 cm yükseltme (hafif dolgu + şap + basamak/rampa)</t>
        </is>
      </c>
      <c r="D19" s="51" t="inlineStr">
        <is>
          <t>m²</t>
        </is>
      </c>
      <c r="E19" s="52" t="n">
        <v>16.73</v>
      </c>
      <c r="F19" s="29" t="n"/>
      <c r="G19" s="53">
        <f>E19*F19*K19</f>
        <v/>
      </c>
      <c r="H19" s="54">
        <f>14220*K19</f>
        <v/>
      </c>
      <c r="I19" s="54">
        <f>23422*K19</f>
        <v/>
      </c>
      <c r="J19" s="55" t="inlineStr">
        <is>
          <t>A</t>
        </is>
      </c>
      <c r="K19" s="55">
        <f>IF('1 · Özet'!$E$4="A",1,0)</f>
        <v/>
      </c>
    </row>
    <row r="20">
      <c r="A20" s="48" t="inlineStr">
        <is>
          <t>03.09</t>
        </is>
      </c>
      <c r="B20" s="49" t="inlineStr">
        <is>
          <t>ISLAK HACİM</t>
        </is>
      </c>
      <c r="C20" s="50" t="inlineStr">
        <is>
          <t>SEÇENEK B — öğütücülü gri su / atık su pompası (2 ünite + hat)</t>
        </is>
      </c>
      <c r="D20" s="51" t="inlineStr">
        <is>
          <t>takım</t>
        </is>
      </c>
      <c r="E20" s="52" t="n">
        <v>1</v>
      </c>
      <c r="F20" s="29" t="n"/>
      <c r="G20" s="53">
        <f>E20*F20*K20</f>
        <v/>
      </c>
      <c r="H20" s="54">
        <f>72000*K20</f>
        <v/>
      </c>
      <c r="I20" s="54">
        <f>128000*K20</f>
        <v/>
      </c>
      <c r="J20" s="55" t="inlineStr">
        <is>
          <t>B</t>
        </is>
      </c>
      <c r="K20" s="55">
        <f>IF('1 · Özet'!$E$4="B",1,0)</f>
        <v/>
      </c>
    </row>
    <row r="21">
      <c r="A21" s="41" t="inlineStr">
        <is>
          <t>04.01</t>
        </is>
      </c>
      <c r="B21" s="5" t="inlineStr">
        <is>
          <t>ZEMİN</t>
        </is>
      </c>
      <c r="C21" s="42" t="inlineStr">
        <is>
          <t>Kauçuk karo 40 mm — arena / serbest ağırlık</t>
        </is>
      </c>
      <c r="D21" s="43" t="inlineStr">
        <is>
          <t>m²</t>
        </is>
      </c>
      <c r="E21" s="44" t="n">
        <v>31.76</v>
      </c>
      <c r="F21" s="29" t="n"/>
      <c r="G21" s="45">
        <f>E21*F21*K21</f>
        <v/>
      </c>
      <c r="H21" s="46">
        <f>36524*K21</f>
        <v/>
      </c>
      <c r="I21" s="46">
        <f>57168*K21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04.02</t>
        </is>
      </c>
      <c r="B22" s="2" t="inlineStr">
        <is>
          <t>ZEMİN</t>
        </is>
      </c>
      <c r="C22" s="35" t="inlineStr">
        <is>
          <t>Titreşim matı 10 mm (arena altı — üst katta konut varsayımı)</t>
        </is>
      </c>
      <c r="D22" s="36" t="inlineStr">
        <is>
          <t>m²</t>
        </is>
      </c>
      <c r="E22" s="37" t="n">
        <v>31.76</v>
      </c>
      <c r="F22" s="29" t="n"/>
      <c r="G22" s="38">
        <f>E22*F22*K22</f>
        <v/>
      </c>
      <c r="H22" s="39">
        <f>9528*K22</f>
        <v/>
      </c>
      <c r="I22" s="39">
        <f>16515*K22</f>
        <v/>
      </c>
      <c r="J22" s="40" t="inlineStr">
        <is>
          <t>O</t>
        </is>
      </c>
      <c r="K22" s="40">
        <f>IF('1 · Özet'!$B$4="ÖNERİLEN",1,0)</f>
        <v/>
      </c>
    </row>
    <row r="23">
      <c r="A23" s="41" t="inlineStr">
        <is>
          <t>04.03</t>
        </is>
      </c>
      <c r="B23" s="5" t="inlineStr">
        <is>
          <t>ZEMİN</t>
        </is>
      </c>
      <c r="C23" s="42" t="inlineStr">
        <is>
          <t>Kauçuk karo 20 mm — fonksiyonel / kardiyo</t>
        </is>
      </c>
      <c r="D23" s="43" t="inlineStr">
        <is>
          <t>m²</t>
        </is>
      </c>
      <c r="E23" s="44" t="n">
        <v>22.31</v>
      </c>
      <c r="F23" s="29" t="n"/>
      <c r="G23" s="45">
        <f>E23*F23*K23</f>
        <v/>
      </c>
      <c r="H23" s="46">
        <f>15617*K23</f>
        <v/>
      </c>
      <c r="I23" s="46">
        <f>25656*K23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04.04</t>
        </is>
      </c>
      <c r="B24" s="2" t="inlineStr">
        <is>
          <t>ZEMİN</t>
        </is>
      </c>
      <c r="C24" s="35" t="inlineStr">
        <is>
          <t>LVT / laminat parke — dinlenme + giriş / banko</t>
        </is>
      </c>
      <c r="D24" s="36" t="inlineStr">
        <is>
          <t>m²</t>
        </is>
      </c>
      <c r="E24" s="37" t="n">
        <v>32.98</v>
      </c>
      <c r="F24" s="29" t="n"/>
      <c r="G24" s="38">
        <f>E24*F24*K24</f>
        <v/>
      </c>
      <c r="H24" s="39">
        <f>18139*K24</f>
        <v/>
      </c>
      <c r="I24" s="39">
        <f>31331*K24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04.05</t>
        </is>
      </c>
      <c r="B25" s="5" t="inlineStr">
        <is>
          <t>ZEMİN</t>
        </is>
      </c>
      <c r="C25" s="42" t="inlineStr">
        <is>
          <t>Süpürgelik, geçiş profilleri, eşikler</t>
        </is>
      </c>
      <c r="D25" s="43" t="inlineStr">
        <is>
          <t>m</t>
        </is>
      </c>
      <c r="E25" s="44" t="n">
        <v>71.5</v>
      </c>
      <c r="F25" s="29" t="n"/>
      <c r="G25" s="45">
        <f>E25*F25*K25</f>
        <v/>
      </c>
      <c r="H25" s="46">
        <f>11440*K25</f>
        <v/>
      </c>
      <c r="I25" s="46">
        <f>20735*K25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05.01</t>
        </is>
      </c>
      <c r="B26" s="2" t="inlineStr">
        <is>
          <t>ELEKTRİK</t>
        </is>
      </c>
      <c r="C26" s="35" t="inlineStr">
        <is>
          <t>Ana pano yenileme + kaçak akım + kompanzasyonsuz dağıtım</t>
        </is>
      </c>
      <c r="D26" s="36" t="inlineStr">
        <is>
          <t>adet</t>
        </is>
      </c>
      <c r="E26" s="37" t="n">
        <v>1</v>
      </c>
      <c r="F26" s="29" t="n"/>
      <c r="G26" s="38">
        <f>E26*F26*K26</f>
        <v/>
      </c>
      <c r="H26" s="39">
        <f>55000*K26</f>
        <v/>
      </c>
      <c r="I26" s="39">
        <f>105000*K26</f>
        <v/>
      </c>
      <c r="J26" s="40" t="inlineStr">
        <is>
          <t>M</t>
        </is>
      </c>
      <c r="K26" s="40" t="n">
        <v>1</v>
      </c>
    </row>
    <row r="27">
      <c r="A27" s="41" t="inlineStr">
        <is>
          <t>05.02</t>
        </is>
      </c>
      <c r="B27" s="5" t="inlineStr">
        <is>
          <t>ELEKTRİK</t>
        </is>
      </c>
      <c r="C27" s="42" t="inlineStr">
        <is>
          <t>Priz / anahtar / kuvvet noktası (sıva altı, komple)</t>
        </is>
      </c>
      <c r="D27" s="43" t="inlineStr">
        <is>
          <t>nokta</t>
        </is>
      </c>
      <c r="E27" s="44" t="n">
        <v>64</v>
      </c>
      <c r="F27" s="29" t="n"/>
      <c r="G27" s="45">
        <f>E27*F27*K27</f>
        <v/>
      </c>
      <c r="H27" s="46">
        <f>60800*K27</f>
        <v/>
      </c>
      <c r="I27" s="46">
        <f>102400*K27</f>
        <v/>
      </c>
      <c r="J27" s="47" t="inlineStr">
        <is>
          <t>M</t>
        </is>
      </c>
      <c r="K27" s="47" t="n">
        <v>1</v>
      </c>
    </row>
    <row r="28">
      <c r="A28" s="34" t="inlineStr">
        <is>
          <t>05.03</t>
        </is>
      </c>
      <c r="B28" s="2" t="inlineStr">
        <is>
          <t>ELEKTRİK</t>
        </is>
      </c>
      <c r="C28" s="35" t="inlineStr">
        <is>
          <t>Lineer LED armatür 40 W / 4400 lm (montaj dahil)</t>
        </is>
      </c>
      <c r="D28" s="36" t="inlineStr">
        <is>
          <t>adet</t>
        </is>
      </c>
      <c r="E28" s="37" t="n">
        <v>15</v>
      </c>
      <c r="F28" s="29" t="n"/>
      <c r="G28" s="38">
        <f>E28*F28*K28</f>
        <v/>
      </c>
      <c r="H28" s="39">
        <f>21000*K28</f>
        <v/>
      </c>
      <c r="I28" s="39">
        <f>39000*K28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05.06</t>
        </is>
      </c>
      <c r="B29" s="5" t="inlineStr">
        <is>
          <t>ELEKTRİK</t>
        </is>
      </c>
      <c r="C29" s="42" t="inlineStr">
        <is>
          <t>IP44 downlight 18 W / 1800 lm — ıslak hacim ve soyunma</t>
        </is>
      </c>
      <c r="D29" s="43" t="inlineStr">
        <is>
          <t>adet</t>
        </is>
      </c>
      <c r="E29" s="44" t="n">
        <v>6</v>
      </c>
      <c r="F29" s="29" t="n"/>
      <c r="G29" s="45">
        <f>E29*F29*K29</f>
        <v/>
      </c>
      <c r="H29" s="46">
        <f>5100*K29</f>
        <v/>
      </c>
      <c r="I29" s="46">
        <f>9300*K29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05.04</t>
        </is>
      </c>
      <c r="B30" s="2" t="inlineStr">
        <is>
          <t>ELEKTRİK</t>
        </is>
      </c>
      <c r="C30" s="35" t="inlineStr">
        <is>
          <t>Acil aydınlatma + yönlendirme armatürü</t>
        </is>
      </c>
      <c r="D30" s="36" t="inlineStr">
        <is>
          <t>adet</t>
        </is>
      </c>
      <c r="E30" s="37" t="n">
        <v>8</v>
      </c>
      <c r="F30" s="29" t="n"/>
      <c r="G30" s="38">
        <f>E30*F30*K30</f>
        <v/>
      </c>
      <c r="H30" s="39">
        <f>9200*K30</f>
        <v/>
      </c>
      <c r="I30" s="39">
        <f>16800*K30</f>
        <v/>
      </c>
      <c r="J30" s="40" t="inlineStr">
        <is>
          <t>M</t>
        </is>
      </c>
      <c r="K30" s="40" t="n">
        <v>1</v>
      </c>
    </row>
    <row r="31">
      <c r="A31" s="41" t="inlineStr">
        <is>
          <t>05.05</t>
        </is>
      </c>
      <c r="B31" s="5" t="inlineStr">
        <is>
          <t>ELEKTRİK</t>
        </is>
      </c>
      <c r="C31" s="42" t="inlineStr">
        <is>
          <t>Zayıf akım — ağ, ses sistemi, CCTV, geçiş kontrol altyapısı</t>
        </is>
      </c>
      <c r="D31" s="43" t="inlineStr">
        <is>
          <t>götürü</t>
        </is>
      </c>
      <c r="E31" s="44" t="n">
        <v>1</v>
      </c>
      <c r="F31" s="29" t="n"/>
      <c r="G31" s="45">
        <f>E31*F31*K31</f>
        <v/>
      </c>
      <c r="H31" s="46">
        <f>55000*K31</f>
        <v/>
      </c>
      <c r="I31" s="46">
        <f>110000*K31</f>
        <v/>
      </c>
      <c r="J31" s="47" t="inlineStr">
        <is>
          <t>O</t>
        </is>
      </c>
      <c r="K31" s="47">
        <f>IF('1 · Özet'!$B$4="ÖNERİLEN",1,0)</f>
        <v/>
      </c>
    </row>
    <row r="32">
      <c r="A32" s="34" t="inlineStr">
        <is>
          <t>06.01</t>
        </is>
      </c>
      <c r="B32" s="2" t="inlineStr">
        <is>
          <t>MEKANİK</t>
        </is>
      </c>
      <c r="C32" s="35" t="inlineStr">
        <is>
          <t>Split klima 24.000 BTU inverter + montaj</t>
        </is>
      </c>
      <c r="D32" s="36" t="inlineStr">
        <is>
          <t>adet</t>
        </is>
      </c>
      <c r="E32" s="37" t="n">
        <v>3</v>
      </c>
      <c r="F32" s="29" t="n"/>
      <c r="G32" s="38">
        <f>E32*F32*K32</f>
        <v/>
      </c>
      <c r="H32" s="39">
        <f>96000*K32</f>
        <v/>
      </c>
      <c r="I32" s="39">
        <f>156000*K32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06.02</t>
        </is>
      </c>
      <c r="B33" s="5" t="inlineStr">
        <is>
          <t>MEKANİK</t>
        </is>
      </c>
      <c r="C33" s="42" t="inlineStr">
        <is>
          <t>Taze hava + egzoz seti 1000 m³/h (kanal, fan, menfez, susturucu)</t>
        </is>
      </c>
      <c r="D33" s="43" t="inlineStr">
        <is>
          <t>takım</t>
        </is>
      </c>
      <c r="E33" s="44" t="n">
        <v>1</v>
      </c>
      <c r="F33" s="29" t="n"/>
      <c r="G33" s="45">
        <f>E33*F33*K33</f>
        <v/>
      </c>
      <c r="H33" s="46">
        <f>65000*K33</f>
        <v/>
      </c>
      <c r="I33" s="46">
        <f>120000*K33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06.03</t>
        </is>
      </c>
      <c r="B34" s="2" t="inlineStr">
        <is>
          <t>MEKANİK</t>
        </is>
      </c>
      <c r="C34" s="35" t="inlineStr">
        <is>
          <t>Islak hacim egzozu 240 m³/h (2 duş + 2 WC)</t>
        </is>
      </c>
      <c r="D34" s="36" t="inlineStr">
        <is>
          <t>takım</t>
        </is>
      </c>
      <c r="E34" s="37" t="n">
        <v>1</v>
      </c>
      <c r="F34" s="29" t="n"/>
      <c r="G34" s="38">
        <f>E34*F34*K34</f>
        <v/>
      </c>
      <c r="H34" s="39">
        <f>18000*K34</f>
        <v/>
      </c>
      <c r="I34" s="39">
        <f>32000*K34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06.04</t>
        </is>
      </c>
      <c r="B35" s="5" t="inlineStr">
        <is>
          <t>MEKANİK</t>
        </is>
      </c>
      <c r="C35" s="42" t="inlineStr">
        <is>
          <t>Sıhhi tesisat gider hatları, süzgeçler, havalandırma bacası</t>
        </is>
      </c>
      <c r="D35" s="43" t="inlineStr">
        <is>
          <t>götürü</t>
        </is>
      </c>
      <c r="E35" s="44" t="n">
        <v>1</v>
      </c>
      <c r="F35" s="29" t="n"/>
      <c r="G35" s="45">
        <f>E35*F35*K35</f>
        <v/>
      </c>
      <c r="H35" s="46">
        <f>25000*K35</f>
        <v/>
      </c>
      <c r="I35" s="46">
        <f>45000*K35</f>
        <v/>
      </c>
      <c r="J35" s="47" t="inlineStr">
        <is>
          <t>M</t>
        </is>
      </c>
      <c r="K35" s="47" t="n">
        <v>1</v>
      </c>
    </row>
    <row r="36">
      <c r="A36" s="34" t="inlineStr">
        <is>
          <t>07.01</t>
        </is>
      </c>
      <c r="B36" s="2" t="inlineStr">
        <is>
          <t>BOYA · DEKOR</t>
        </is>
      </c>
      <c r="C36" s="35" t="inlineStr">
        <is>
          <t>Silinebilir mat duvar boyası (astar + 2 kat)</t>
        </is>
      </c>
      <c r="D36" s="36" t="inlineStr">
        <is>
          <t>m²</t>
        </is>
      </c>
      <c r="E36" s="37" t="n">
        <v>129.3</v>
      </c>
      <c r="F36" s="29" t="n"/>
      <c r="G36" s="38">
        <f>E36*F36*K36</f>
        <v/>
      </c>
      <c r="H36" s="39">
        <f>19395*K36</f>
        <v/>
      </c>
      <c r="I36" s="39">
        <f>36204*K36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07.02</t>
        </is>
      </c>
      <c r="B37" s="5" t="inlineStr">
        <is>
          <t>BOYA · DEKOR</t>
        </is>
      </c>
      <c r="C37" s="42" t="inlineStr">
        <is>
          <t>Tavan boyası / açık tavan siyah boya (endüstriyel)</t>
        </is>
      </c>
      <c r="D37" s="43" t="inlineStr">
        <is>
          <t>m²</t>
        </is>
      </c>
      <c r="E37" s="44" t="n">
        <v>103.78</v>
      </c>
      <c r="F37" s="29" t="n"/>
      <c r="G37" s="45">
        <f>E37*F37*K37</f>
        <v/>
      </c>
      <c r="H37" s="46">
        <f>18680*K37</f>
        <v/>
      </c>
      <c r="I37" s="46">
        <f>32172*K37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07.03</t>
        </is>
      </c>
      <c r="B38" s="2" t="inlineStr">
        <is>
          <t>BOYA · DEKOR</t>
        </is>
      </c>
      <c r="C38" s="35" t="inlineStr">
        <is>
          <t>Ayna — arena ve fonksiyonel alan (6 mm, montaj dahil)</t>
        </is>
      </c>
      <c r="D38" s="36" t="inlineStr">
        <is>
          <t>m²</t>
        </is>
      </c>
      <c r="E38" s="37" t="n">
        <v>14</v>
      </c>
      <c r="F38" s="29" t="n"/>
      <c r="G38" s="38">
        <f>E38*F38*K38</f>
        <v/>
      </c>
      <c r="H38" s="39">
        <f>16100*K38</f>
        <v/>
      </c>
      <c r="I38" s="39">
        <f>27300*K38</f>
        <v/>
      </c>
      <c r="J38" s="40" t="inlineStr">
        <is>
          <t>O</t>
        </is>
      </c>
      <c r="K38" s="40">
        <f>IF('1 · Özet'!$B$4="ÖNERİLEN",1,0)</f>
        <v/>
      </c>
    </row>
    <row r="39">
      <c r="A39" s="41" t="inlineStr">
        <is>
          <t>07.04</t>
        </is>
      </c>
      <c r="B39" s="5" t="inlineStr">
        <is>
          <t>BOYA · DEKOR</t>
        </is>
      </c>
      <c r="C39" s="42" t="inlineStr">
        <is>
          <t>Duvar grafiği / marka uygulaması</t>
        </is>
      </c>
      <c r="D39" s="43" t="inlineStr">
        <is>
          <t>götürü</t>
        </is>
      </c>
      <c r="E39" s="44" t="n">
        <v>1</v>
      </c>
      <c r="F39" s="29" t="n"/>
      <c r="G39" s="45">
        <f>E39*F39*K39</f>
        <v/>
      </c>
      <c r="H39" s="46">
        <f>28000*K39</f>
        <v/>
      </c>
      <c r="I39" s="46">
        <f>60000*K39</f>
        <v/>
      </c>
      <c r="J39" s="47" t="inlineStr">
        <is>
          <t>O</t>
        </is>
      </c>
      <c r="K39" s="47">
        <f>IF('1 · Özet'!$B$4="ÖNERİLEN",1,0)</f>
        <v/>
      </c>
    </row>
    <row r="40">
      <c r="A40" s="34" t="inlineStr">
        <is>
          <t>08.01</t>
        </is>
      </c>
      <c r="B40" s="2" t="inlineStr">
        <is>
          <t>MARANGOZ</t>
        </is>
      </c>
      <c r="C40" s="35" t="inlineStr">
        <is>
          <t>Resepsiyon bankosu — 2,40 m, kompakt lamine tezgâh</t>
        </is>
      </c>
      <c r="D40" s="36" t="inlineStr">
        <is>
          <t>m</t>
        </is>
      </c>
      <c r="E40" s="37" t="n">
        <v>2.4</v>
      </c>
      <c r="F40" s="29" t="n"/>
      <c r="G40" s="38">
        <f>E40*F40*K40</f>
        <v/>
      </c>
      <c r="H40" s="39">
        <f>26400*K40</f>
        <v/>
      </c>
      <c r="I40" s="39">
        <f>45600*K40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08.02</t>
        </is>
      </c>
      <c r="B41" s="5" t="inlineStr">
        <is>
          <t>MARANGOZ</t>
        </is>
      </c>
      <c r="C41" s="42" t="inlineStr">
        <is>
          <t>Soyunma dolabı / askılık — 24 göz (2 blok)</t>
        </is>
      </c>
      <c r="D41" s="43" t="inlineStr">
        <is>
          <t>göz</t>
        </is>
      </c>
      <c r="E41" s="44" t="n">
        <v>24</v>
      </c>
      <c r="F41" s="29" t="n"/>
      <c r="G41" s="45">
        <f>E41*F41*K41</f>
        <v/>
      </c>
      <c r="H41" s="46">
        <f>57600*K41</f>
        <v/>
      </c>
      <c r="I41" s="46">
        <f>100800*K41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08.03</t>
        </is>
      </c>
      <c r="B42" s="2" t="inlineStr">
        <is>
          <t>MARANGOZ</t>
        </is>
      </c>
      <c r="C42" s="35" t="inlineStr">
        <is>
          <t>Oturma bankı (soyunma) + dinlenme mobilyası</t>
        </is>
      </c>
      <c r="D42" s="36" t="inlineStr">
        <is>
          <t>götürü</t>
        </is>
      </c>
      <c r="E42" s="37" t="n">
        <v>1</v>
      </c>
      <c r="F42" s="29" t="n"/>
      <c r="G42" s="38">
        <f>E42*F42*K42</f>
        <v/>
      </c>
      <c r="H42" s="39">
        <f>34000*K42</f>
        <v/>
      </c>
      <c r="I42" s="39">
        <f>66000*K42</f>
        <v/>
      </c>
      <c r="J42" s="40" t="inlineStr">
        <is>
          <t>O</t>
        </is>
      </c>
      <c r="K42" s="40">
        <f>IF('1 · Özet'!$B$4="ÖNERİLEN",1,0)</f>
        <v/>
      </c>
    </row>
    <row r="43">
      <c r="A43" s="41" t="inlineStr">
        <is>
          <t>09.01</t>
        </is>
      </c>
      <c r="B43" s="5" t="inlineStr">
        <is>
          <t>YANGIN · GÜVENLİK</t>
        </is>
      </c>
      <c r="C43" s="42" t="inlineStr">
        <is>
          <t>6 kg KKT yangın söndürücü + dolap + montaj</t>
        </is>
      </c>
      <c r="D43" s="43" t="inlineStr">
        <is>
          <t>adet</t>
        </is>
      </c>
      <c r="E43" s="44" t="n">
        <v>4</v>
      </c>
      <c r="F43" s="29" t="n"/>
      <c r="G43" s="45">
        <f>E43*F43*K43</f>
        <v/>
      </c>
      <c r="H43" s="46">
        <f>12800*K43</f>
        <v/>
      </c>
      <c r="I43" s="46">
        <f>21600*K43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09.02</t>
        </is>
      </c>
      <c r="B44" s="2" t="inlineStr">
        <is>
          <t>YANGIN · GÜVENLİK</t>
        </is>
      </c>
      <c r="C44" s="35" t="inlineStr">
        <is>
          <t>Yangın algılama (duman dedektörü + siren + panel)</t>
        </is>
      </c>
      <c r="D44" s="36" t="inlineStr">
        <is>
          <t>götürü</t>
        </is>
      </c>
      <c r="E44" s="37" t="n">
        <v>1</v>
      </c>
      <c r="F44" s="29" t="n"/>
      <c r="G44" s="38">
        <f>E44*F44*K44</f>
        <v/>
      </c>
      <c r="H44" s="39">
        <f>32000*K44</f>
        <v/>
      </c>
      <c r="I44" s="39">
        <f>65000*K44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09.03</t>
        </is>
      </c>
      <c r="B45" s="5" t="inlineStr">
        <is>
          <t>YANGIN · GÜVENLİK</t>
        </is>
      </c>
      <c r="C45" s="42" t="inlineStr">
        <is>
          <t>Keskin köşe / kolon darbe hafifletici kaplama</t>
        </is>
      </c>
      <c r="D45" s="43" t="inlineStr">
        <is>
          <t>m</t>
        </is>
      </c>
      <c r="E45" s="44" t="n">
        <v>18</v>
      </c>
      <c r="F45" s="29" t="n"/>
      <c r="G45" s="45">
        <f>E45*F45*K45</f>
        <v/>
      </c>
      <c r="H45" s="46">
        <f>15300*K45</f>
        <v/>
      </c>
      <c r="I45" s="46">
        <f>27000*K45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09.04</t>
        </is>
      </c>
      <c r="B46" s="2" t="inlineStr">
        <is>
          <t>YANGIN · GÜVENLİK</t>
        </is>
      </c>
      <c r="C46" s="35" t="inlineStr">
        <is>
          <t>Engelli erişimi — rampa, tutamak, kapı genişliği düzenlemesi</t>
        </is>
      </c>
      <c r="D46" s="36" t="inlineStr">
        <is>
          <t>götürü</t>
        </is>
      </c>
      <c r="E46" s="37" t="n">
        <v>1</v>
      </c>
      <c r="F46" s="29" t="n"/>
      <c r="G46" s="38">
        <f>E46*F46*K46</f>
        <v/>
      </c>
      <c r="H46" s="39">
        <f>30000*K46</f>
        <v/>
      </c>
      <c r="I46" s="39">
        <f>65000*K46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09.05</t>
        </is>
      </c>
      <c r="B47" s="5" t="inlineStr">
        <is>
          <t>YANGIN · GÜVENLİK</t>
        </is>
      </c>
      <c r="C47" s="42" t="inlineStr">
        <is>
          <t>İlk yardım dolabı, AED, acil çıkış donanımı</t>
        </is>
      </c>
      <c r="D47" s="43" t="inlineStr">
        <is>
          <t>takım</t>
        </is>
      </c>
      <c r="E47" s="44" t="n">
        <v>1</v>
      </c>
      <c r="F47" s="29" t="n"/>
      <c r="G47" s="45">
        <f>E47*F47*K47</f>
        <v/>
      </c>
      <c r="H47" s="46">
        <f>24000*K47</f>
        <v/>
      </c>
      <c r="I47" s="46">
        <f>45000*K47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10.01</t>
        </is>
      </c>
      <c r="B48" s="2" t="inlineStr">
        <is>
          <t>TABELA · DIŞ</t>
        </is>
      </c>
      <c r="C48" s="35" t="inlineStr">
        <is>
          <t>Işıklı kutu harf tabela + cephe folyo</t>
        </is>
      </c>
      <c r="D48" s="36" t="inlineStr">
        <is>
          <t>götürü</t>
        </is>
      </c>
      <c r="E48" s="37" t="n">
        <v>1</v>
      </c>
      <c r="F48" s="29" t="n"/>
      <c r="G48" s="38">
        <f>E48*F48*K48</f>
        <v/>
      </c>
      <c r="H48" s="39">
        <f>48000*K48</f>
        <v/>
      </c>
      <c r="I48" s="39">
        <f>95000*K48</f>
        <v/>
      </c>
      <c r="J48" s="40" t="inlineStr">
        <is>
          <t>O</t>
        </is>
      </c>
      <c r="K48" s="40">
        <f>IF('1 · Özet'!$B$4="ÖNERİLEN",1,0)</f>
        <v/>
      </c>
    </row>
    <row r="49">
      <c r="A49" s="41" t="inlineStr">
        <is>
          <t>10.02</t>
        </is>
      </c>
      <c r="B49" s="5" t="inlineStr">
        <is>
          <t>TABELA · DIŞ</t>
        </is>
      </c>
      <c r="C49" s="42" t="inlineStr">
        <is>
          <t>Cephe doğrama temizlik / bakım, giriş kapısı revizyonu</t>
        </is>
      </c>
      <c r="D49" s="43" t="inlineStr">
        <is>
          <t>götürü</t>
        </is>
      </c>
      <c r="E49" s="44" t="n">
        <v>1</v>
      </c>
      <c r="F49" s="29" t="n"/>
      <c r="G49" s="45">
        <f>E49*F49*K49</f>
        <v/>
      </c>
      <c r="H49" s="46">
        <f>26000*K49</f>
        <v/>
      </c>
      <c r="I49" s="46">
        <f>50000*K49</f>
        <v/>
      </c>
      <c r="J49" s="47" t="inlineStr">
        <is>
          <t>M</t>
        </is>
      </c>
      <c r="K49" s="47" t="n">
        <v>1</v>
      </c>
    </row>
    <row r="51">
      <c r="A51" s="56" t="n"/>
      <c r="B51" s="56" t="n"/>
      <c r="C51" s="57" t="inlineStr">
        <is>
          <t>İMALAT ARA TOPLAMI</t>
        </is>
      </c>
      <c r="D51" s="56" t="n"/>
      <c r="E51" s="56" t="n"/>
      <c r="F51" s="56" t="n"/>
      <c r="G51" s="18">
        <f>SUM(G4:G49)</f>
        <v/>
      </c>
      <c r="H51" s="18">
        <f>SUM(H4:H49)</f>
        <v/>
      </c>
      <c r="I51" s="18">
        <f>SUM(I4:I49)</f>
        <v/>
      </c>
      <c r="J51" s="56" t="n"/>
      <c r="K51" s="56" t="n"/>
    </row>
  </sheetData>
  <autoFilter ref="A3:K49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8" customWidth="1" min="5" max="5"/>
    <col width="16" customWidth="1" min="6" max="6"/>
    <col width="40" customWidth="1" min="7" max="7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Adet</t>
        </is>
      </c>
      <c r="F3" s="6" t="inlineStr">
        <is>
          <t>Footprint (m²)</t>
        </is>
      </c>
      <c r="G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4 katmanlı altıgen rig</t>
        </is>
      </c>
      <c r="C4" s="60" t="inlineStr">
        <is>
          <t>altıgen</t>
        </is>
      </c>
      <c r="D4" s="60" t="inlineStr">
        <is>
          <t>10,60 m²</t>
        </is>
      </c>
      <c r="E4" s="61" t="n">
        <v>1</v>
      </c>
      <c r="F4" s="62" t="n">
        <v>10.6</v>
      </c>
      <c r="G4" s="63" t="n"/>
    </row>
    <row r="5">
      <c r="A5" s="64" t="inlineStr">
        <is>
          <t>B</t>
        </is>
      </c>
      <c r="B5" s="65" t="inlineStr">
        <is>
          <t>Çok fonksiyonlu istasyon</t>
        </is>
      </c>
      <c r="C5" s="66" t="n">
        <v>244</v>
      </c>
      <c r="D5" s="66" t="n">
        <v>62</v>
      </c>
      <c r="E5" s="67" t="n">
        <v>1</v>
      </c>
      <c r="F5" s="68" t="n">
        <v>1.51</v>
      </c>
      <c r="G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1</v>
      </c>
      <c r="F6" s="62" t="n">
        <v>4.06</v>
      </c>
      <c r="G6" s="63" t="n"/>
    </row>
    <row r="7">
      <c r="A7" s="64" t="inlineStr">
        <is>
          <t>D</t>
        </is>
      </c>
      <c r="B7" s="65" t="inlineStr">
        <is>
          <t>Sehpa / dambıl rafı</t>
        </is>
      </c>
      <c r="C7" s="66" t="n">
        <v>155</v>
      </c>
      <c r="D7" s="66" t="n">
        <v>39</v>
      </c>
      <c r="E7" s="67" t="n">
        <v>2</v>
      </c>
      <c r="F7" s="68" t="n">
        <v>1.21</v>
      </c>
      <c r="G7" s="63" t="n"/>
    </row>
    <row r="8">
      <c r="A8" s="58" t="inlineStr">
        <is>
          <t>E</t>
        </is>
      </c>
      <c r="B8" s="59" t="inlineStr">
        <is>
          <t>Kardiyo — kompakt</t>
        </is>
      </c>
      <c r="C8" s="60" t="n">
        <v>84</v>
      </c>
      <c r="D8" s="60" t="n">
        <v>150</v>
      </c>
      <c r="E8" s="61" t="n">
        <v>1</v>
      </c>
      <c r="F8" s="62" t="n">
        <v>1.26</v>
      </c>
      <c r="G8" s="63" t="n"/>
    </row>
    <row r="9">
      <c r="A9" s="64" t="inlineStr">
        <is>
          <t>F</t>
        </is>
      </c>
      <c r="B9" s="65" t="inlineStr">
        <is>
          <t>Koşu bandı / kürek</t>
        </is>
      </c>
      <c r="C9" s="66" t="n">
        <v>245</v>
      </c>
      <c r="D9" s="66" t="n">
        <v>74</v>
      </c>
      <c r="E9" s="67" t="n">
        <v>2</v>
      </c>
      <c r="F9" s="68" t="n">
        <v>3.63</v>
      </c>
      <c r="G9" s="63" t="n"/>
    </row>
    <row r="10">
      <c r="A10" s="17" t="n"/>
      <c r="B10" s="57" t="inlineStr">
        <is>
          <t>TOPLAM FOOTPRINT</t>
        </is>
      </c>
      <c r="C10" s="17" t="n"/>
      <c r="D10" s="17" t="n"/>
      <c r="E10" s="19">
        <f>SUM(E4:E9)</f>
        <v/>
      </c>
      <c r="F10" s="69">
        <f>SUM(F4:F9)</f>
        <v/>
      </c>
      <c r="G10" s="17" t="n"/>
    </row>
    <row r="12">
      <c r="B12" s="30" t="inlineStr">
        <is>
          <t>Salon brüt alanı</t>
        </is>
      </c>
      <c r="F12" s="62" t="n">
        <v>87.05</v>
      </c>
    </row>
    <row r="13">
      <c r="B13" s="30" t="inlineStr">
        <is>
          <t>Serbest sirkülasyon / çalışma alanı</t>
        </is>
      </c>
      <c r="F13" s="62">
        <f>87.05-F10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2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8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2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8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2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8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2" t="n">
        <v>46.15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8" t="n">
        <v>25.32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2" t="n">
        <v>129.3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8" t="n">
        <v>55.7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2" t="n">
        <v>44.6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8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adedi</t>
        </is>
      </c>
      <c r="B16" s="62" t="n">
        <v>3</v>
      </c>
      <c r="C16" s="10" t="inlineStr">
        <is>
          <t>adet</t>
        </is>
      </c>
      <c r="D16" s="59" t="inlineStr">
        <is>
          <t>57000 BTU / 24.000</t>
        </is>
      </c>
    </row>
    <row r="17">
      <c r="A17" s="12" t="inlineStr">
        <is>
          <t>Taze hava debisi</t>
        </is>
      </c>
      <c r="B17" s="68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2" t="n">
        <v>16.3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8" t="n">
        <v>0.09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2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2026-09-13T20:02:23Z</dcterms:created>
  <dcterms:modified xsi:type="dcterms:W3CDTF">2026-09-13T20:02:23Z</dcterms:modified>
</cp:coreProperties>
</file>