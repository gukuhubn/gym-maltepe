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30" t="n"/>
      <c r="G8" s="38">
        <f>E8*F8*K8</f>
        <v/>
      </c>
      <c r="H8" s="39">
        <f>138260*K8</f>
        <v/>
      </c>
      <c r="I8" s="39">
        <f>173940*K8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30" t="n"/>
      <c r="G9" s="45">
        <f>E9*F9*K9</f>
        <v/>
      </c>
      <c r="H9" s="46">
        <f>7035*K9</f>
        <v/>
      </c>
      <c r="I9" s="46">
        <f>10452*K9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30" t="n"/>
      <c r="G10" s="38">
        <f>E10*F10*K10</f>
        <v/>
      </c>
      <c r="H10" s="39">
        <f>49134*K10</f>
        <v/>
      </c>
      <c r="I10" s="39">
        <f>72408*K10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24.3</v>
      </c>
      <c r="F12" s="30" t="n"/>
      <c r="G12" s="38">
        <f>E12*F12*K12</f>
        <v/>
      </c>
      <c r="H12" s="39">
        <f>19440*K12</f>
        <v/>
      </c>
      <c r="I12" s="39">
        <f>26730*K12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55.7</v>
      </c>
      <c r="F14" s="30" t="n"/>
      <c r="G14" s="38">
        <f>E14*F14*K14</f>
        <v/>
      </c>
      <c r="H14" s="39">
        <f>99982*K14</f>
        <v/>
      </c>
      <c r="I14" s="39">
        <f>147605*K14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31.76</v>
      </c>
      <c r="F19" s="30" t="n"/>
      <c r="G19" s="45">
        <f>E19*F19*K19</f>
        <v/>
      </c>
      <c r="H19" s="46">
        <f>87340*K19</f>
        <v/>
      </c>
      <c r="I19" s="46">
        <f>124499*K19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31.76</v>
      </c>
      <c r="F20" s="30" t="n"/>
      <c r="G20" s="38">
        <f>E20*F20*K20</f>
        <v/>
      </c>
      <c r="H20" s="39">
        <f>26361*K20</f>
        <v/>
      </c>
      <c r="I20" s="39">
        <f>40018*K20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22.31</v>
      </c>
      <c r="F21" s="30" t="n"/>
      <c r="G21" s="45">
        <f>E21*F21*K21</f>
        <v/>
      </c>
      <c r="H21" s="46">
        <f>36812*K21</f>
        <v/>
      </c>
      <c r="I21" s="46">
        <f>53544*K21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32.98</v>
      </c>
      <c r="F22" s="30" t="n"/>
      <c r="G22" s="38">
        <f>E22*F22*K22</f>
        <v/>
      </c>
      <c r="H22" s="39">
        <f>45183*K22</f>
        <v/>
      </c>
      <c r="I22" s="39">
        <f>69918*K22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71.5</v>
      </c>
      <c r="F23" s="30" t="n"/>
      <c r="G23" s="45">
        <f>E23*F23*K23</f>
        <v/>
      </c>
      <c r="H23" s="46">
        <f>25025*K23</f>
        <v/>
      </c>
      <c r="I23" s="46">
        <f>39325*K23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129.3</v>
      </c>
      <c r="F24" s="30" t="n"/>
      <c r="G24" s="38">
        <f>E24*F24*K24</f>
        <v/>
      </c>
      <c r="H24" s="39">
        <f>49781*K24</f>
        <v/>
      </c>
      <c r="I24" s="39">
        <f>78873*K24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16.8</v>
      </c>
      <c r="F45" s="30" t="n"/>
      <c r="G45" s="45">
        <f>E45*F45*K45</f>
        <v/>
      </c>
      <c r="H45" s="46">
        <f>22680*K45</f>
        <v/>
      </c>
      <c r="I45" s="46">
        <f>36960*K45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10.5</v>
      </c>
      <c r="F46" s="30" t="n"/>
      <c r="G46" s="38">
        <f>E46*F46*K46</f>
        <v/>
      </c>
      <c r="H46" s="39">
        <f>12075*K46</f>
        <v/>
      </c>
      <c r="I46" s="39">
        <f>19950*K46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4.4</v>
      </c>
      <c r="F47" s="30" t="n"/>
      <c r="G47" s="45">
        <f>E47*F47*K47</f>
        <v/>
      </c>
      <c r="H47" s="46">
        <f>2728*K47</f>
        <v/>
      </c>
      <c r="I47" s="46">
        <f>4620*K47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3</v>
      </c>
      <c r="F48" s="30" t="n"/>
      <c r="G48" s="38">
        <f>E48*F48*K48</f>
        <v/>
      </c>
      <c r="H48" s="39">
        <f>1260*K48</f>
        <v/>
      </c>
      <c r="I48" s="39">
        <f>2160*K48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15</v>
      </c>
      <c r="F49" s="30" t="n"/>
      <c r="G49" s="45">
        <f>E49*F49*K49</f>
        <v/>
      </c>
      <c r="H49" s="46">
        <f>8100*K49</f>
        <v/>
      </c>
      <c r="I49" s="46">
        <f>13500*K49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35.5</v>
      </c>
      <c r="F56" s="30" t="n"/>
      <c r="G56" s="38">
        <f>E56*F56*K56</f>
        <v/>
      </c>
      <c r="H56" s="39">
        <f>27690*K56</f>
        <v/>
      </c>
      <c r="I56" s="39">
        <f>46150*K56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42.3</v>
      </c>
      <c r="F57" s="30" t="n"/>
      <c r="G57" s="45">
        <f>E57*F57*K57</f>
        <v/>
      </c>
      <c r="H57" s="46">
        <f>13536*K57</f>
        <v/>
      </c>
      <c r="I57" s="46">
        <f>22842*K57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35.8</v>
      </c>
      <c r="F63" s="30" t="n"/>
      <c r="G63" s="45">
        <f>E63*F63*K63</f>
        <v/>
      </c>
      <c r="H63" s="46">
        <f>39380*K63</f>
        <v/>
      </c>
      <c r="I63" s="46">
        <f>66230*K63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34.2</v>
      </c>
      <c r="F65" s="30" t="n"/>
      <c r="G65" s="45">
        <f>E65*F65*K65</f>
        <v/>
      </c>
      <c r="H65" s="46">
        <f>14364*K65</f>
        <v/>
      </c>
      <c r="I65" s="46">
        <f>24624*K65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Depolu elektrikli boyler 100 L / 3 kW, emaye kaplı, magnezyum anotlu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23000*K77</f>
        <v/>
      </c>
      <c r="I77" s="46">
        <f>39000*K77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22</v>
      </c>
      <c r="F82" s="30" t="n"/>
      <c r="G82" s="38">
        <f>E82*F82*K82</f>
        <v/>
      </c>
      <c r="H82" s="39">
        <f>13640*K82</f>
        <v/>
      </c>
      <c r="I82" s="39">
        <f>23100*K82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42</v>
      </c>
      <c r="F90" s="30" t="n"/>
      <c r="G90" s="38">
        <f>E90*F90*K90</f>
        <v/>
      </c>
      <c r="H90" s="39">
        <f>4620*K90</f>
        <v/>
      </c>
      <c r="I90" s="39">
        <f>7770*K90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391</v>
      </c>
      <c r="F95" s="30" t="n"/>
      <c r="G95" s="45">
        <f>E95*F95*K95</f>
        <v/>
      </c>
      <c r="H95" s="46">
        <f>54740*K95</f>
        <v/>
      </c>
      <c r="I95" s="46">
        <f>89930*K95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Boyler besleme hattı 3×2,5 mm² + 20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8400*K97</f>
        <v/>
      </c>
      <c r="I97" s="46">
        <f>14600*K97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210</v>
      </c>
      <c r="F110" s="30" t="n"/>
      <c r="G110" s="38">
        <f>E110*F110*K110</f>
        <v/>
      </c>
      <c r="H110" s="39">
        <f>12600*K110</f>
        <v/>
      </c>
      <c r="I110" s="39">
        <f>22050*K110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20.59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2026-09-18T11:29:00Z</dcterms:created>
  <dcterms:modified xsi:type="dcterms:W3CDTF">2026-09-18T11:29:00Z</dcterms:modified>
</cp:coreProperties>
</file>