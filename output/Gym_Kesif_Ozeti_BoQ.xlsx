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KAPAK" sheetId="1" state="visible" r:id="rId1"/>
    <sheet name="2 · İCMAL" sheetId="2" state="visible" r:id="rId2"/>
    <sheet name="3 · KEŞİF ÖZETİ" sheetId="3" state="visible" r:id="rId3"/>
    <sheet name="4 · BÜTÇE TAHMİNİ" sheetId="4" state="visible" r:id="rId4"/>
    <sheet name="5 · MEKANİK KEŞİF" sheetId="5" state="visible" r:id="rId5"/>
    <sheet name="6 · ELEKTRİK KEŞİF" sheetId="6" state="visible" r:id="rId6"/>
    <sheet name="7 · METRAJ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TL&quot;"/>
    <numFmt numFmtId="165" formatCode="#,##0.00 &quot;TL&quot;"/>
    <numFmt numFmtId="166" formatCode="#,##0.000"/>
  </numFmts>
  <fonts count="23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b val="1"/>
      <color rgb="FFFFFFFF"/>
      <sz val="11"/>
    </font>
    <font>
      <name val="Calibri"/>
      <color rgb="FF1C1C1C"/>
      <sz val="9"/>
    </font>
    <font>
      <name val="Calibri"/>
      <b val="1"/>
      <color rgb="FFFFFFFF"/>
      <sz val="9"/>
    </font>
    <font>
      <name val="Calibri"/>
      <color rgb="FF8A8F98"/>
      <sz val="8"/>
    </font>
    <font>
      <name val="Calibri"/>
      <color rgb="FF6B7078"/>
      <sz val="9"/>
    </font>
    <font>
      <name val="Calibri"/>
      <color rgb="FF8A8F98"/>
      <sz val="10"/>
    </font>
    <font>
      <name val="Calibri"/>
      <color rgb="FFB87333"/>
      <sz val="10"/>
    </font>
    <font>
      <name val="Calibri"/>
      <b val="1"/>
      <color rgb="FF16273D"/>
      <sz val="11"/>
    </font>
    <font>
      <name val="Calibri"/>
      <b val="1"/>
      <color rgb="FFFFFFFF"/>
      <sz val="12"/>
    </font>
    <font>
      <name val="Calibri"/>
      <color rgb="FF8A8F98"/>
      <sz val="9"/>
    </font>
    <font>
      <name val="Calibri"/>
      <b val="1"/>
      <color rgb="FF16273D"/>
      <sz val="9"/>
    </font>
    <font>
      <name val="Calibri"/>
      <b val="1"/>
      <color rgb="FF1C1C1C"/>
      <sz val="9"/>
    </font>
    <font>
      <name val="Calibri"/>
      <color rgb="FF16273D"/>
      <sz val="10"/>
    </font>
    <font>
      <name val="Calibri"/>
      <color rgb="FFFFFFFF"/>
      <sz val="9"/>
    </font>
    <font>
      <name val="Calibri"/>
      <b val="1"/>
      <color rgb="FFFFFFFF"/>
      <sz val="10"/>
    </font>
    <font>
      <name val="Calibri"/>
      <b val="1"/>
      <color rgb="FF8A8F98"/>
      <sz val="8"/>
    </font>
    <font>
      <name val="Calibri"/>
      <color rgb="FF1C1C1C"/>
      <sz val="8"/>
    </font>
    <font>
      <name val="Calibri"/>
      <b val="1"/>
      <color rgb="FF1C1C1C"/>
      <sz val="8"/>
    </font>
    <font>
      <name val="Calibri"/>
      <b val="1"/>
      <color rgb="FFC8322B"/>
      <sz val="9"/>
    </font>
  </fonts>
  <fills count="10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FFFFFF"/>
      </patternFill>
    </fill>
    <fill>
      <patternFill patternType="solid">
        <fgColor rgb="FF24405F"/>
      </patternFill>
    </fill>
    <fill>
      <patternFill patternType="solid">
        <fgColor rgb="FFE7EAEE"/>
      </patternFill>
    </fill>
    <fill>
      <patternFill patternType="solid">
        <fgColor rgb="FFB87333"/>
      </patternFill>
    </fill>
    <fill>
      <patternFill patternType="solid">
        <fgColor rgb="FFFFF6E8"/>
      </patternFill>
    </fill>
    <fill>
      <patternFill patternType="solid">
        <fgColor rgb="FFFDF3EC"/>
      </patternFill>
    </fill>
  </fills>
  <borders count="6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4" fontId="15" fillId="4" borderId="1" applyAlignment="1" pivotButton="0" quotePrefix="0" xfId="0">
      <alignment horizontal="right" vertical="center"/>
    </xf>
    <xf numFmtId="165" fontId="16" fillId="8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0" fontId="1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4" fontId="1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14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164" fontId="17" fillId="2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right" vertical="center"/>
    </xf>
    <xf numFmtId="0" fontId="20" fillId="3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66" fontId="14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166" fontId="14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166" fontId="22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4" fontId="5" fillId="9" borderId="1" applyAlignment="1" pivotButton="0" quotePrefix="0" xfId="0">
      <alignment horizontal="right" vertical="center"/>
    </xf>
    <xf numFmtId="166" fontId="5" fillId="9" borderId="1" applyAlignment="1" pivotButton="0" quotePrefix="0" xfId="0">
      <alignment horizontal="right" vertical="center"/>
    </xf>
    <xf numFmtId="166" fontId="2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  <col width="30" customWidth="1" min="4" max="4"/>
    <col width="22" customWidth="1" min="5" max="5"/>
    <col width="22" customWidth="1" min="6" max="6"/>
    <col width="4" customWidth="1" min="7" max="7"/>
  </cols>
  <sheetData>
    <row r="1" ht="24" customHeight="1">
      <c r="A1" s="1" t="inlineStr">
        <is>
          <t>KEŞİF ÖZETİ VE METRAJ CETVELLERİ  ·  BILL OF QUANTITIES</t>
        </is>
      </c>
    </row>
    <row r="3" ht="20" customHeight="1">
      <c r="B3" s="2" t="inlineStr">
        <is>
          <t>PROJE ADI (PROJECT NAME)</t>
        </is>
      </c>
      <c r="D3" s="3" t="inlineStr">
        <is>
          <t>MALTEPE / İDEALTEPE — MOBİLYA MAĞAZASI → FONKSİYONEL ANTRENMAN STÜDYOSU</t>
        </is>
      </c>
    </row>
    <row r="4" ht="20" customHeight="1">
      <c r="B4" s="2" t="inlineStr">
        <is>
          <t>İŞİN ADI (PACKAGE NAME)</t>
        </is>
      </c>
      <c r="D4" s="3" t="inlineStr">
        <is>
          <t>Mobilya mağazası → fonksiyonel antrenman stüdyosu dönüşümü</t>
        </is>
      </c>
    </row>
    <row r="5" ht="20" customHeight="1">
      <c r="B5" s="2" t="inlineStr">
        <is>
          <t>İŞVEREN (EMPLOYER)</t>
        </is>
      </c>
      <c r="D5" s="3" t="inlineStr">
        <is>
          <t>………………………………  (işveren adı doldurulacak)</t>
        </is>
      </c>
    </row>
    <row r="6" ht="20" customHeight="1">
      <c r="B6" s="2" t="inlineStr">
        <is>
          <t>YÜKLENİCİ (CONTRACTOR)</t>
        </is>
      </c>
      <c r="D6" s="3" t="inlineStr">
        <is>
          <t>………………………………  (teklif veren firma doldurulacak)</t>
        </is>
      </c>
    </row>
    <row r="7" ht="20" customHeight="1">
      <c r="B7" s="2" t="inlineStr">
        <is>
          <t>NET İÇ KULLANIM ALANI</t>
        </is>
      </c>
      <c r="D7" s="3" t="inlineStr">
        <is>
          <t>103.78 m²  ·  10 mahal</t>
        </is>
      </c>
    </row>
    <row r="8" ht="20" customHeight="1">
      <c r="B8" s="2" t="inlineStr">
        <is>
          <t>REVİZYON (REVISION)</t>
        </is>
      </c>
      <c r="D8" s="3" t="inlineStr">
        <is>
          <t>Rev G</t>
        </is>
      </c>
    </row>
    <row r="9" ht="20" customHeight="1">
      <c r="B9" s="2" t="inlineStr">
        <is>
          <t>TARİH (DATE)</t>
        </is>
      </c>
      <c r="D9" s="3" t="inlineStr">
        <is>
          <t>17 Eylül 2026</t>
        </is>
      </c>
    </row>
    <row r="10" ht="20" customHeight="1">
      <c r="B10" s="2" t="inlineStr">
        <is>
          <t>PARA BİRİMİ (CURRENCY)</t>
        </is>
      </c>
      <c r="D10" s="3" t="inlineStr">
        <is>
          <t>TL  ·  KDV hariç</t>
        </is>
      </c>
    </row>
    <row r="11" ht="20" customHeight="1">
      <c r="B11" s="2" t="inlineStr">
        <is>
          <t>FİYAT REFERANSI</t>
        </is>
      </c>
      <c r="D11" s="3" t="inlineStr">
        <is>
          <t>Mayıs 2025 (Vogelkopp kesin hakedişi) · Eylül 2026'ya eskale</t>
        </is>
      </c>
    </row>
    <row r="13">
      <c r="B13" s="4" t="inlineStr">
        <is>
          <t>TEKLİF VERENE NOTLAR</t>
        </is>
      </c>
      <c r="C13" s="5" t="n"/>
      <c r="D13" s="5" t="n"/>
      <c r="E13" s="5" t="n"/>
      <c r="F13" s="6" t="n"/>
    </row>
    <row r="14" ht="26" customHeight="1">
      <c r="B14" s="7" t="inlineStr">
        <is>
          <t>1) MALZEME BİRİM FİYATI ve İŞÇİLİK BİRİM FİYATI sütunları BOŞ bırakılmıştır; teklif veren firma doldurur. Tutar sütunları canlı formülle kendiliğinden hesaplanır.</t>
        </is>
      </c>
    </row>
    <row r="15" ht="26" customHeight="1">
      <c r="B15" s="7" t="inlineStr">
        <is>
          <t>2) Miktarlar mimari uygulama projesinden (A-01…A-13) türetilmiş, metraj cetvelleri bu dosyanın «METRAJ» sayfalarında satır satır verilmiştir. Kapı ve pencere boşlukları MİNHA olarak düşülmüştür.</t>
        </is>
      </c>
    </row>
    <row r="16" ht="26" customHeight="1">
      <c r="B16" s="7" t="inlineStr">
        <is>
          <t>3) Birim fiyatlara; malzeme, işçilik, şantiye içi yatay-düşey taşıma, iskele, koruma, zayiat, montaj sarfı ve imalat sonrası temizlik dâhildir.</t>
        </is>
      </c>
    </row>
    <row r="17" ht="26" customHeight="1">
      <c r="B17" s="7" t="inlineStr">
        <is>
          <t>4) Genel gider ile kâr ve risk bedeli ayrı sütunlarda gösterilecek, birim fiyata gömülmeyecektir.</t>
        </is>
      </c>
    </row>
    <row r="18" ht="26" customHeight="1">
      <c r="B18" s="7" t="inlineStr">
        <is>
          <t>5) Tüm imalatlarda numune onayı zorunludur; onaysız sipariş bedeli yükleniciye aittir.</t>
        </is>
      </c>
    </row>
    <row r="19" ht="26" customHeight="1">
      <c r="B19" s="7" t="inlineStr">
        <is>
          <t>6) Mevcut duvar kalınlığı, tavan yüksekliği ve şap üst kotu VARSAYIMDIR. Söküm sonrası rölöve ile doğrulanacak, metrajlar bu dosya üzerinden tek yerden güncellenecektir.</t>
        </is>
      </c>
    </row>
    <row r="20" ht="26" customHeight="1">
      <c r="B20" s="7" t="inlineStr">
        <is>
          <t>7) Mekanik ve elektrik keşifleri ayrı sayfalardadır; koordinasyon bedeli icmalde ayrıca gösterilir.</t>
        </is>
      </c>
    </row>
    <row r="21" ht="26" customHeight="1">
      <c r="B21" s="7" t="inlineStr">
        <is>
          <t>8) KDV oranı imalat cinsine göre %20 / %10 olarak icmalde ayrıştırılmıştır.</t>
        </is>
      </c>
    </row>
    <row r="23">
      <c r="B23" s="8" t="inlineStr">
        <is>
          <t>HAZIRLAYAN</t>
        </is>
      </c>
      <c r="D23" s="8" t="inlineStr">
        <is>
          <t>KONTROL</t>
        </is>
      </c>
      <c r="F23" s="8" t="inlineStr">
        <is>
          <t>ONAY</t>
        </is>
      </c>
    </row>
    <row r="24" ht="22" customHeight="1">
      <c r="B24" s="9" t="inlineStr"/>
      <c r="D24" s="9" t="inlineStr"/>
      <c r="F24" s="9" t="inlineStr"/>
    </row>
    <row r="25" ht="22" customHeight="1"/>
    <row r="26"/>
    <row r="27">
      <c r="B27" s="10" t="inlineStr">
        <is>
          <t>Proje müellifi</t>
        </is>
      </c>
      <c r="D27" s="10" t="inlineStr">
        <is>
          <t>Yapı denetim / mimar</t>
        </is>
      </c>
      <c r="F27" s="10" t="inlineStr">
        <is>
          <t>İşveren</t>
        </is>
      </c>
    </row>
  </sheetData>
  <mergeCells count="28">
    <mergeCell ref="D11:F11"/>
    <mergeCell ref="B16:F16"/>
    <mergeCell ref="D7:F7"/>
    <mergeCell ref="B27:C27"/>
    <mergeCell ref="B18:F18"/>
    <mergeCell ref="B21:F21"/>
    <mergeCell ref="F24:G26"/>
    <mergeCell ref="D4:F4"/>
    <mergeCell ref="D27:E27"/>
    <mergeCell ref="B23:C23"/>
    <mergeCell ref="D3:F3"/>
    <mergeCell ref="D9:F9"/>
    <mergeCell ref="B14:F14"/>
    <mergeCell ref="D8:F8"/>
    <mergeCell ref="B17:F17"/>
    <mergeCell ref="B13:F13"/>
    <mergeCell ref="D5:F5"/>
    <mergeCell ref="F23:G23"/>
    <mergeCell ref="B19:F19"/>
    <mergeCell ref="F27:G27"/>
    <mergeCell ref="D10:F10"/>
    <mergeCell ref="B24:C26"/>
    <mergeCell ref="B20:F20"/>
    <mergeCell ref="B15:F15"/>
    <mergeCell ref="D24:E26"/>
    <mergeCell ref="A1:F1"/>
    <mergeCell ref="D23:E23"/>
    <mergeCell ref="D6:F6"/>
  </mergeCell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9" customWidth="1" min="3" max="3"/>
    <col width="16" customWidth="1" min="4" max="4"/>
    <col width="16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 ht="24" customHeight="1">
      <c r="A1" s="1" t="inlineStr">
        <is>
          <t>İMALAT İCMALİ  ·  SUMMARY OF WORKS</t>
        </is>
      </c>
    </row>
    <row r="2" ht="15" customHeight="1">
      <c r="A2" s="11" t="inlineStr">
        <is>
          <t>MALTEPE / İDEALTEPE — MOBİLYA MAĞAZASI → FONKSİYONEL ANTRENMAN STÜDYOSU · Rev G · 17 Eylül 2026 · Tutarlar KDV hariç TL</t>
        </is>
      </c>
    </row>
    <row r="4" ht="30" customHeight="1">
      <c r="A4" s="12" t="inlineStr">
        <is>
          <t>PAKET
NO</t>
        </is>
      </c>
      <c r="B4" s="12" t="inlineStr">
        <is>
          <t>UYGULAMA PAKETİ</t>
        </is>
      </c>
      <c r="C4" s="12" t="inlineStr">
        <is>
          <t>POZ
ADEDİ</t>
        </is>
      </c>
      <c r="D4" s="12" t="inlineStr">
        <is>
          <t>TEKLİF TUTARI
(KDV hariç)</t>
        </is>
      </c>
      <c r="E4" s="12" t="inlineStr">
        <is>
          <t>BÜTÇE TAHMİNİ
DÜŞÜK</t>
        </is>
      </c>
      <c r="F4" s="12" t="inlineStr">
        <is>
          <t>BÜTÇE TAHMİNİ
YÜKSEK</t>
        </is>
      </c>
      <c r="G4" s="12" t="inlineStr">
        <is>
          <t>KDV
ORANI</t>
        </is>
      </c>
      <c r="H4" s="12" t="inlineStr">
        <is>
          <t>KDV DÂHİL
TEKLİF</t>
        </is>
      </c>
      <c r="I4" s="12" t="inlineStr">
        <is>
          <t>KOORDİNASYON
BEDELİ</t>
        </is>
      </c>
    </row>
    <row r="5">
      <c r="A5" s="13" t="inlineStr">
        <is>
          <t>A</t>
        </is>
      </c>
      <c r="B5" s="14" t="inlineStr">
        <is>
          <t>YIKIM · SÖKÜM VE MOLOZ ATMA İŞLERİ</t>
        </is>
      </c>
      <c r="C5" s="15" t="n">
        <v>6</v>
      </c>
      <c r="D5" s="16">
        <f>SUMIF('3 · KEŞİF ÖZETİ'!$A:$A,"A*",'3 · KEŞİF ÖZETİ'!$Q:$Q)</f>
        <v/>
      </c>
      <c r="E5" s="17" t="n">
        <v>155793.6</v>
      </c>
      <c r="F5" s="17" t="n">
        <v>247875.9</v>
      </c>
      <c r="G5" s="18" t="n">
        <v>0.2</v>
      </c>
      <c r="H5" s="19">
        <f>D5*(1+G5)</f>
        <v/>
      </c>
      <c r="I5" s="20">
        <f>D5*0.20</f>
        <v/>
      </c>
    </row>
    <row r="6">
      <c r="A6" s="21" t="inlineStr">
        <is>
          <t>B</t>
        </is>
      </c>
      <c r="B6" s="3" t="inlineStr">
        <is>
          <t>BÖLME DUVAR VE ALÇIPAN İŞLERİ</t>
        </is>
      </c>
      <c r="C6" s="22" t="n">
        <v>3</v>
      </c>
      <c r="D6" s="23">
        <f>SUMIF('3 · KEŞİF ÖZETİ'!$A:$A,"B*",'3 · KEŞİF ÖZETİ'!$Q:$Q)</f>
        <v/>
      </c>
      <c r="E6" s="24" t="n">
        <v>354543</v>
      </c>
      <c r="F6" s="24" t="n">
        <v>450588</v>
      </c>
      <c r="G6" s="25" t="n">
        <v>0.2</v>
      </c>
      <c r="H6" s="26">
        <f>D6*(1+G6)</f>
        <v/>
      </c>
      <c r="I6" s="27">
        <f>D6*0.20</f>
        <v/>
      </c>
    </row>
    <row r="7">
      <c r="A7" s="13" t="inlineStr">
        <is>
          <t>C</t>
        </is>
      </c>
      <c r="B7" s="14" t="inlineStr">
        <is>
          <t>ŞAP VE TESVİYE İŞLERİ</t>
        </is>
      </c>
      <c r="C7" s="15" t="n">
        <v>5</v>
      </c>
      <c r="D7" s="16">
        <f>SUMIF('3 · KEŞİF ÖZETİ'!$A:$A,"C*",'3 · KEŞİF ÖZETİ'!$Q:$Q)</f>
        <v/>
      </c>
      <c r="E7" s="17" t="n">
        <v>86050.2</v>
      </c>
      <c r="F7" s="17" t="n">
        <v>122188.4</v>
      </c>
      <c r="G7" s="18" t="n">
        <v>0.2</v>
      </c>
      <c r="H7" s="19">
        <f>D7*(1+G7)</f>
        <v/>
      </c>
      <c r="I7" s="20">
        <f>D7*0.20</f>
        <v/>
      </c>
    </row>
    <row r="8">
      <c r="A8" s="21" t="inlineStr">
        <is>
          <t>D</t>
        </is>
      </c>
      <c r="B8" s="3" t="inlineStr">
        <is>
          <t>ZEMİN KAPLAMA VE SÜPÜRGELİK İŞLERİ</t>
        </is>
      </c>
      <c r="C8" s="22" t="n">
        <v>9</v>
      </c>
      <c r="D8" s="23">
        <f>SUMIF('3 · KEŞİF ÖZETİ'!$A:$A,"D*",'3 · KEŞİF ÖZETİ'!$Q:$Q)</f>
        <v/>
      </c>
      <c r="E8" s="24" t="n">
        <v>254653.3</v>
      </c>
      <c r="F8" s="24" t="n">
        <v>377584.9</v>
      </c>
      <c r="G8" s="25" t="n">
        <v>0.2</v>
      </c>
      <c r="H8" s="26">
        <f>D8*(1+G8)</f>
        <v/>
      </c>
      <c r="I8" s="27">
        <f>D8*0.20</f>
        <v/>
      </c>
    </row>
    <row r="9">
      <c r="A9" s="13" t="inlineStr">
        <is>
          <t>E</t>
        </is>
      </c>
      <c r="B9" s="14" t="inlineStr">
        <is>
          <t>SERAMİK VE SU YALITIMI İŞLERİ</t>
        </is>
      </c>
      <c r="C9" s="15" t="n">
        <v>5</v>
      </c>
      <c r="D9" s="16">
        <f>SUMIF('3 · KEŞİF ÖZETİ'!$A:$A,"E*",'3 · KEŞİF ÖZETİ'!$Q:$Q)</f>
        <v/>
      </c>
      <c r="E9" s="17" t="n">
        <v>102628.85</v>
      </c>
      <c r="F9" s="17" t="n">
        <v>152964.3</v>
      </c>
      <c r="G9" s="18" t="n">
        <v>0.2</v>
      </c>
      <c r="H9" s="19">
        <f>D9*(1+G9)</f>
        <v/>
      </c>
      <c r="I9" s="20">
        <f>D9*0.20</f>
        <v/>
      </c>
    </row>
    <row r="10">
      <c r="A10" s="21" t="inlineStr">
        <is>
          <t>F</t>
        </is>
      </c>
      <c r="B10" s="3" t="inlineStr">
        <is>
          <t>ASMA TAVAN VE BOYA İŞLERİ</t>
        </is>
      </c>
      <c r="C10" s="22" t="n">
        <v>9</v>
      </c>
      <c r="D10" s="23">
        <f>SUMIF('3 · KEŞİF ÖZETİ'!$A:$A,"F*",'3 · KEŞİF ÖZETİ'!$Q:$Q)</f>
        <v/>
      </c>
      <c r="E10" s="24" t="n">
        <v>309828.75</v>
      </c>
      <c r="F10" s="24" t="n">
        <v>466314.9</v>
      </c>
      <c r="G10" s="25" t="n">
        <v>0.2</v>
      </c>
      <c r="H10" s="26">
        <f>D10*(1+G10)</f>
        <v/>
      </c>
      <c r="I10" s="27">
        <f>D10*0.20</f>
        <v/>
      </c>
    </row>
    <row r="11">
      <c r="A11" s="13" t="inlineStr">
        <is>
          <t>G</t>
        </is>
      </c>
      <c r="B11" s="14" t="inlineStr">
        <is>
          <t>DOĞRAMA, CAM VE AYNA İŞLERİ</t>
        </is>
      </c>
      <c r="C11" s="15" t="n">
        <v>12</v>
      </c>
      <c r="D11" s="16">
        <f>SUMIF('3 · KEŞİF ÖZETİ'!$A:$A,"G*",'3 · KEŞİF ÖZETİ'!$Q:$Q)</f>
        <v/>
      </c>
      <c r="E11" s="17" t="n">
        <v>282731.6</v>
      </c>
      <c r="F11" s="17" t="n">
        <v>457614.8</v>
      </c>
      <c r="G11" s="18" t="n">
        <v>0.2</v>
      </c>
      <c r="H11" s="19">
        <f>D11*(1+G11)</f>
        <v/>
      </c>
      <c r="I11" s="20">
        <f>D11*0.20</f>
        <v/>
      </c>
    </row>
    <row r="12">
      <c r="A12" s="21" t="inlineStr">
        <is>
          <t>H</t>
        </is>
      </c>
      <c r="B12" s="3" t="inlineStr">
        <is>
          <t>SABİT MOBİLYA İŞLERİ</t>
        </is>
      </c>
      <c r="C12" s="22" t="n">
        <v>5</v>
      </c>
      <c r="D12" s="23">
        <f>SUMIF('3 · KEŞİF ÖZETİ'!$A:$A,"H*",'3 · KEŞİF ÖZETİ'!$Q:$Q)</f>
        <v/>
      </c>
      <c r="E12" s="24" t="n">
        <v>173900</v>
      </c>
      <c r="F12" s="24" t="n">
        <v>290500</v>
      </c>
      <c r="G12" s="25" t="n">
        <v>0.2</v>
      </c>
      <c r="H12" s="26">
        <f>D12*(1+G12)</f>
        <v/>
      </c>
      <c r="I12" s="27">
        <f>D12*0.20</f>
        <v/>
      </c>
    </row>
    <row r="13">
      <c r="A13" s="13" t="inlineStr">
        <is>
          <t>I</t>
        </is>
      </c>
      <c r="B13" s="14" t="inlineStr">
        <is>
          <t>YANGIN GÜVENLİK VE İŞARETLEME</t>
        </is>
      </c>
      <c r="C13" s="15" t="n">
        <v>3</v>
      </c>
      <c r="D13" s="16">
        <f>SUMIF('3 · KEŞİF ÖZETİ'!$A:$A,"I*",'3 · KEŞİF ÖZETİ'!$Q:$Q)</f>
        <v/>
      </c>
      <c r="E13" s="17" t="n">
        <v>50750</v>
      </c>
      <c r="F13" s="17" t="n">
        <v>84100</v>
      </c>
      <c r="G13" s="18" t="n">
        <v>0.2</v>
      </c>
      <c r="H13" s="19">
        <f>D13*(1+G13)</f>
        <v/>
      </c>
      <c r="I13" s="20">
        <f>D13*0.20</f>
        <v/>
      </c>
    </row>
    <row r="14">
      <c r="A14" s="21" t="inlineStr">
        <is>
          <t>J</t>
        </is>
      </c>
      <c r="B14" s="3" t="inlineStr">
        <is>
          <t>ŞANTİYE GENEL GİDERLERİ</t>
        </is>
      </c>
      <c r="C14" s="22" t="n">
        <v>4</v>
      </c>
      <c r="D14" s="23">
        <f>SUMIF('3 · KEŞİF ÖZETİ'!$A:$A,"J*",'3 · KEŞİF ÖZETİ'!$Q:$Q)</f>
        <v/>
      </c>
      <c r="E14" s="24" t="n">
        <v>324314.4</v>
      </c>
      <c r="F14" s="24" t="n">
        <v>496872.8</v>
      </c>
      <c r="G14" s="25" t="n">
        <v>0.2</v>
      </c>
      <c r="H14" s="26">
        <f>D14*(1+G14)</f>
        <v/>
      </c>
      <c r="I14" s="27">
        <f>D14*0.20</f>
        <v/>
      </c>
    </row>
    <row r="15">
      <c r="A15" s="13" t="inlineStr">
        <is>
          <t>K</t>
        </is>
      </c>
      <c r="B15" s="14" t="inlineStr">
        <is>
          <t>MEKANİK TESİSAT İŞLERİ</t>
        </is>
      </c>
      <c r="C15" s="15" t="n">
        <v>37</v>
      </c>
      <c r="D15" s="16">
        <f>'5 · MEKANİK KEŞİF'!$H$3</f>
        <v/>
      </c>
      <c r="E15" s="17" t="n">
        <v>540728</v>
      </c>
      <c r="F15" s="17" t="n">
        <v>909501</v>
      </c>
      <c r="G15" s="18" t="n">
        <v>0.2</v>
      </c>
      <c r="H15" s="19">
        <f>D15*(1+G15)</f>
        <v/>
      </c>
      <c r="I15" s="20">
        <f>D15*0.1</f>
        <v/>
      </c>
    </row>
    <row r="16">
      <c r="A16" s="21" t="inlineStr">
        <is>
          <t>L</t>
        </is>
      </c>
      <c r="B16" s="3" t="inlineStr">
        <is>
          <t>ELEKTRİK TESİSAT İŞLERİ</t>
        </is>
      </c>
      <c r="C16" s="22" t="n">
        <v>36</v>
      </c>
      <c r="D16" s="23">
        <f>'6 · ELEKTRİK KEŞİF'!$H$3</f>
        <v/>
      </c>
      <c r="E16" s="24" t="n">
        <v>412220</v>
      </c>
      <c r="F16" s="24" t="n">
        <v>698140</v>
      </c>
      <c r="G16" s="25" t="n">
        <v>0.2</v>
      </c>
      <c r="H16" s="26">
        <f>D16*(1+G16)</f>
        <v/>
      </c>
      <c r="I16" s="27">
        <f>D16*0.1</f>
        <v/>
      </c>
    </row>
    <row r="17">
      <c r="A17" s="28" t="inlineStr"/>
      <c r="B17" s="29" t="inlineStr">
        <is>
          <t>DOĞRUDAN İMALAT TOPLAMI</t>
        </is>
      </c>
      <c r="C17" s="28" t="inlineStr"/>
      <c r="D17" s="30">
        <f>SUM(D5:D16)</f>
        <v/>
      </c>
      <c r="E17" s="30">
        <f>SUM(E5:E16)</f>
        <v/>
      </c>
      <c r="F17" s="30">
        <f>SUM(F5:F16)</f>
        <v/>
      </c>
      <c r="G17" s="28" t="inlineStr"/>
      <c r="H17" s="30">
        <f>SUM(H5:H16)</f>
        <v/>
      </c>
      <c r="I17" s="30">
        <f>SUM(I5:I16)</f>
        <v/>
      </c>
    </row>
    <row r="19">
      <c r="B19" s="4" t="inlineStr">
        <is>
          <t>MALİYET KURGUSU</t>
        </is>
      </c>
      <c r="C19" s="5" t="n"/>
      <c r="D19" s="5" t="n"/>
      <c r="E19" s="5" t="n"/>
      <c r="F19" s="6" t="n"/>
    </row>
    <row r="20">
      <c r="A20" s="13" t="inlineStr">
        <is>
          <t>1</t>
        </is>
      </c>
      <c r="B20" s="31" t="inlineStr">
        <is>
          <t>Doğrudan imalat toplamı (A–L)</t>
        </is>
      </c>
      <c r="D20" s="16">
        <f>D17</f>
        <v/>
      </c>
      <c r="E20" s="17">
        <f>E17</f>
        <v/>
      </c>
      <c r="F20" s="17">
        <f>F17</f>
        <v/>
      </c>
    </row>
    <row r="21" ht="26" customHeight="1">
      <c r="A21" s="21" t="inlineStr">
        <is>
          <t>2</t>
        </is>
      </c>
      <c r="B21" s="3" t="inlineStr">
        <is>
          <t>Yüklenici koordinasyon / genel gider ve kâr bedeli — inşaat %20, mekanik-elektrik %10 (referans proje oranları)</t>
        </is>
      </c>
      <c r="D21" s="23">
        <f>I17</f>
        <v/>
      </c>
      <c r="E21" s="24">
        <f>E17*0.18</f>
        <v/>
      </c>
      <c r="F21" s="24">
        <f>F17*0.18</f>
        <v/>
      </c>
    </row>
    <row r="22" ht="26" customHeight="1">
      <c r="A22" s="13" t="inlineStr">
        <is>
          <t>3</t>
        </is>
      </c>
      <c r="B22" s="14" t="inlineStr">
        <is>
          <t>Beklenmedik giderler payı %15 — ıslak hacim ve mevcut durum belirsizliği</t>
        </is>
      </c>
      <c r="D22" s="16">
        <f>(D20+D21)*0.15</f>
        <v/>
      </c>
      <c r="E22" s="17">
        <f>(E20+E21)*0.15</f>
        <v/>
      </c>
      <c r="F22" s="17">
        <f>(F20+F21)*0.15</f>
        <v/>
      </c>
    </row>
    <row r="23">
      <c r="A23" s="28" t="inlineStr"/>
      <c r="B23" s="29" t="inlineStr">
        <is>
          <t>SÖZLEŞME BEDELİ (KDV HARİÇ)</t>
        </is>
      </c>
      <c r="D23" s="30">
        <f>D20+D21+D22</f>
        <v/>
      </c>
      <c r="E23" s="30">
        <f>E20+E21+E22</f>
        <v/>
      </c>
      <c r="F23" s="30">
        <f>F20+F21+F22</f>
        <v/>
      </c>
    </row>
    <row r="24">
      <c r="A24" s="21" t="inlineStr"/>
      <c r="B24" s="32" t="inlineStr">
        <is>
          <t>KDV (%20 · imalat cinsine göre icmal satırlarından)</t>
        </is>
      </c>
      <c r="D24" s="26">
        <f>D23*0.20</f>
        <v/>
      </c>
      <c r="E24" s="26">
        <f>E23*0.20</f>
        <v/>
      </c>
      <c r="F24" s="26">
        <f>F23*0.20</f>
        <v/>
      </c>
    </row>
    <row r="25" ht="22" customHeight="1">
      <c r="A25" s="33" t="inlineStr"/>
      <c r="B25" s="34" t="inlineStr">
        <is>
          <t>GENEL TOPLAM (KDV DÂHİL)</t>
        </is>
      </c>
      <c r="D25" s="35">
        <f>D23+D24</f>
        <v/>
      </c>
      <c r="E25" s="35">
        <f>E23+E24</f>
        <v/>
      </c>
      <c r="F25" s="35">
        <f>F23+F24</f>
        <v/>
      </c>
    </row>
    <row r="27" ht="34" customHeight="1">
      <c r="A27" s="36" t="inlineStr">
        <is>
          <t>BÜTÇE TAHMİNİ sütunları, işverenin referans projesi (Aqua Florya / Saltbae, Vogelkopp kesin hakedişi 13.05.2025) gerçekleşen birim fiyatlarının Eylül 2026'ya ×1.4 ile eskale edilmesiyle kurulmuştur. TEKLİF TUTARI sütunu, «3 · KEŞİF ÖZETİ» sayfasına girilen birim fiyatlardan canlı hesaplanır.</t>
        </is>
      </c>
    </row>
  </sheetData>
  <mergeCells count="4">
    <mergeCell ref="A1:I1"/>
    <mergeCell ref="A27:I27"/>
    <mergeCell ref="A2:I2"/>
    <mergeCell ref="B19:F1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58" customWidth="1" min="3" max="3"/>
    <col width="16" customWidth="1" min="4" max="4"/>
    <col width="24" customWidth="1" min="5" max="5"/>
    <col width="7" customWidth="1" min="6" max="6"/>
    <col width="11" customWidth="1" min="7" max="7"/>
    <col width="14" customWidth="1" min="8" max="8"/>
    <col width="15" customWidth="1" min="9" max="9"/>
    <col width="14" customWidth="1" min="10" max="10"/>
    <col width="15" customWidth="1" min="11" max="11"/>
    <col width="12" customWidth="1" min="12" max="12"/>
    <col width="14" customWidth="1" min="13" max="13"/>
    <col width="12" customWidth="1" min="14" max="14"/>
    <col width="14" customWidth="1" min="15" max="15"/>
    <col width="15" customWidth="1" min="16" max="16"/>
    <col width="15" customWidth="1" min="17" max="17"/>
  </cols>
  <sheetData>
    <row r="1" ht="24" customHeight="1">
      <c r="A1" s="1" t="inlineStr">
        <is>
          <t>KEŞİF ÖZETİ  ·  BILL OF QUANTITIES — MİMARİ İMALATLAR</t>
        </is>
      </c>
    </row>
    <row r="2" ht="15" customHeight="1">
      <c r="A2" s="11" t="inlineStr">
        <is>
          <t>MALTEPE / İDEALTEPE — MOBİLYA MAĞAZASI → FONKSİYONEL ANTRENMAN STÜDYOSU · Rev G · 17 Eylül 2026 · KDV hariç TL · sarı hücreler teklif veren firma tarafından doldurulacaktır</t>
        </is>
      </c>
    </row>
    <row r="4" ht="38" customHeight="1">
      <c r="A4" s="12" t="inlineStr">
        <is>
          <t>POZ NO</t>
        </is>
      </c>
      <c r="B4" s="12" t="inlineStr">
        <is>
          <t>ŞARTNAME
NO</t>
        </is>
      </c>
      <c r="C4" s="12" t="inlineStr">
        <is>
          <t>YAPILACAK İŞİN CİNSİ</t>
        </is>
      </c>
      <c r="D4" s="12" t="inlineStr">
        <is>
          <t>MAHAL / PROJE
REFERANSI</t>
        </is>
      </c>
      <c r="E4" s="12" t="inlineStr">
        <is>
          <t>AÇIKLAMA / MARKA</t>
        </is>
      </c>
      <c r="F4" s="12" t="inlineStr">
        <is>
          <t>BİRİM</t>
        </is>
      </c>
      <c r="G4" s="12" t="inlineStr">
        <is>
          <t>MİKTAR</t>
        </is>
      </c>
      <c r="H4" s="12" t="inlineStr">
        <is>
          <t>MALZEME
BİRİM FİYATI</t>
        </is>
      </c>
      <c r="I4" s="12" t="inlineStr">
        <is>
          <t>MALZEME
TOPLAM FİYATI</t>
        </is>
      </c>
      <c r="J4" s="12" t="inlineStr">
        <is>
          <t>İŞÇİLİK
BİRİM FİYATI</t>
        </is>
      </c>
      <c r="K4" s="12" t="inlineStr">
        <is>
          <t>İŞÇİLİK
TOPLAM FİYATI</t>
        </is>
      </c>
      <c r="L4" s="12" t="inlineStr">
        <is>
          <t>GENEL GİDER
(TL)</t>
        </is>
      </c>
      <c r="M4" s="12" t="inlineStr">
        <is>
          <t>GENEL GİDER
TOPLAM</t>
        </is>
      </c>
      <c r="N4" s="12" t="inlineStr">
        <is>
          <t>KÂR + RİSK
(TL)</t>
        </is>
      </c>
      <c r="O4" s="12" t="inlineStr">
        <is>
          <t>KÂR + RİSK
TOPLAM</t>
        </is>
      </c>
      <c r="P4" s="12" t="inlineStr">
        <is>
          <t>TOPLAM
BİRİM FİYAT</t>
        </is>
      </c>
      <c r="Q4" s="12" t="inlineStr">
        <is>
          <t>TOPLAM
FİYAT</t>
        </is>
      </c>
    </row>
    <row r="5" ht="18" customHeight="1">
      <c r="A5" s="28" t="inlineStr">
        <is>
          <t>A</t>
        </is>
      </c>
      <c r="B5" s="37" t="inlineStr">
        <is>
          <t>02 41 00   ·   YIKIM · SÖKÜM VE MOLOZ ATMA İŞLERİ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</row>
    <row r="6" ht="30" customHeight="1">
      <c r="A6" s="39" t="inlineStr">
        <is>
          <t>A.1.1</t>
        </is>
      </c>
      <c r="B6" s="40" t="inlineStr">
        <is>
          <t>02 41 00</t>
        </is>
      </c>
      <c r="C6" s="7" t="inlineStr">
        <is>
          <t>Mevcut zemin kaplaması sökümü ve altlık temizliği</t>
        </is>
      </c>
      <c r="D6" s="41" t="inlineStr">
        <is>
          <t>Tüm mahaller</t>
        </is>
      </c>
      <c r="E6" s="42" t="inlineStr">
        <is>
          <t>—</t>
        </is>
      </c>
      <c r="F6" s="9" t="inlineStr">
        <is>
          <t>m²</t>
        </is>
      </c>
      <c r="G6" s="43" t="n">
        <v>103.78</v>
      </c>
      <c r="H6" s="44" t="n"/>
      <c r="I6" s="45">
        <f>$G6*H6</f>
        <v/>
      </c>
      <c r="J6" s="44" t="n"/>
      <c r="K6" s="45">
        <f>$G6*J6</f>
        <v/>
      </c>
      <c r="L6" s="44" t="n"/>
      <c r="M6" s="45">
        <f>$G6*L6</f>
        <v/>
      </c>
      <c r="N6" s="44" t="n"/>
      <c r="O6" s="45">
        <f>$G6*N6</f>
        <v/>
      </c>
      <c r="P6" s="46">
        <f>H6+J6+L6+N6</f>
        <v/>
      </c>
      <c r="Q6" s="46">
        <f>$G6*P6</f>
        <v/>
      </c>
    </row>
    <row r="7" ht="30" customHeight="1">
      <c r="A7" s="47" t="inlineStr">
        <is>
          <t>A.1.2</t>
        </is>
      </c>
      <c r="B7" s="10" t="inlineStr">
        <is>
          <t>02 41 00</t>
        </is>
      </c>
      <c r="C7" s="48" t="inlineStr">
        <is>
          <t>Mevcut asma tavan ve aydınlatma armatürü sökümü</t>
        </is>
      </c>
      <c r="D7" s="49" t="inlineStr">
        <is>
          <t>Tüm mahaller</t>
        </is>
      </c>
      <c r="E7" s="50" t="inlineStr">
        <is>
          <t>—</t>
        </is>
      </c>
      <c r="F7" s="51" t="inlineStr">
        <is>
          <t>m²</t>
        </is>
      </c>
      <c r="G7" s="52" t="n">
        <v>103.78</v>
      </c>
      <c r="H7" s="44" t="n"/>
      <c r="I7" s="53">
        <f>$G7*H7</f>
        <v/>
      </c>
      <c r="J7" s="44" t="n"/>
      <c r="K7" s="53">
        <f>$G7*J7</f>
        <v/>
      </c>
      <c r="L7" s="44" t="n"/>
      <c r="M7" s="53">
        <f>$G7*L7</f>
        <v/>
      </c>
      <c r="N7" s="44" t="n"/>
      <c r="O7" s="53">
        <f>$G7*N7</f>
        <v/>
      </c>
      <c r="P7" s="54">
        <f>H7+J7+L7+N7</f>
        <v/>
      </c>
      <c r="Q7" s="54">
        <f>$G7*P7</f>
        <v/>
      </c>
    </row>
    <row r="8" ht="30" customHeight="1">
      <c r="A8" s="39" t="inlineStr">
        <is>
          <t>A.1.3</t>
        </is>
      </c>
      <c r="B8" s="40" t="inlineStr">
        <is>
          <t>02 41 00</t>
        </is>
      </c>
      <c r="C8" s="7" t="inlineStr">
        <is>
          <t>Islak hacimde mevcut şap kırımı (ort. 70 mm, tesisat boşluğu)</t>
        </is>
      </c>
      <c r="D8" s="41" t="inlineStr">
        <is>
          <t>106·107·109·110</t>
        </is>
      </c>
      <c r="E8" s="42" t="inlineStr">
        <is>
          <t>—</t>
        </is>
      </c>
      <c r="F8" s="9" t="inlineStr">
        <is>
          <t>m²</t>
        </is>
      </c>
      <c r="G8" s="43" t="n">
        <v>6.19</v>
      </c>
      <c r="H8" s="44" t="n"/>
      <c r="I8" s="45">
        <f>$G8*H8</f>
        <v/>
      </c>
      <c r="J8" s="44" t="n"/>
      <c r="K8" s="45">
        <f>$G8*J8</f>
        <v/>
      </c>
      <c r="L8" s="44" t="n"/>
      <c r="M8" s="45">
        <f>$G8*L8</f>
        <v/>
      </c>
      <c r="N8" s="44" t="n"/>
      <c r="O8" s="45">
        <f>$G8*N8</f>
        <v/>
      </c>
      <c r="P8" s="46">
        <f>H8+J8+L8+N8</f>
        <v/>
      </c>
      <c r="Q8" s="46">
        <f>$G8*P8</f>
        <v/>
      </c>
    </row>
    <row r="9" ht="30" customHeight="1">
      <c r="A9" s="47" t="inlineStr">
        <is>
          <t>A.1.4</t>
        </is>
      </c>
      <c r="B9" s="10" t="inlineStr">
        <is>
          <t>02 41 00</t>
        </is>
      </c>
      <c r="C9" s="48" t="inlineStr">
        <is>
          <t>Mevcut sıva üstü elektrik tesisatı ve tablosu sökümü</t>
        </is>
      </c>
      <c r="D9" s="49" t="inlineStr">
        <is>
          <t>Tüm mahaller</t>
        </is>
      </c>
      <c r="E9" s="50" t="inlineStr">
        <is>
          <t>—</t>
        </is>
      </c>
      <c r="F9" s="51" t="inlineStr">
        <is>
          <t>tk</t>
        </is>
      </c>
      <c r="G9" s="52" t="n">
        <v>1</v>
      </c>
      <c r="H9" s="44" t="n"/>
      <c r="I9" s="53">
        <f>$G9*H9</f>
        <v/>
      </c>
      <c r="J9" s="44" t="n"/>
      <c r="K9" s="53">
        <f>$G9*J9</f>
        <v/>
      </c>
      <c r="L9" s="44" t="n"/>
      <c r="M9" s="53">
        <f>$G9*L9</f>
        <v/>
      </c>
      <c r="N9" s="44" t="n"/>
      <c r="O9" s="53">
        <f>$G9*N9</f>
        <v/>
      </c>
      <c r="P9" s="54">
        <f>H9+J9+L9+N9</f>
        <v/>
      </c>
      <c r="Q9" s="54">
        <f>$G9*P9</f>
        <v/>
      </c>
    </row>
    <row r="10" ht="30" customHeight="1">
      <c r="A10" s="39" t="inlineStr">
        <is>
          <t>A.1.5</t>
        </is>
      </c>
      <c r="B10" s="40" t="inlineStr">
        <is>
          <t>02 41 00</t>
        </is>
      </c>
      <c r="C10" s="7" t="inlineStr">
        <is>
          <t>Mevcut mağaza rafı, teşhir ünitesi ve mobilya sökümü</t>
        </is>
      </c>
      <c r="D10" s="41" t="inlineStr">
        <is>
          <t>101–104</t>
        </is>
      </c>
      <c r="E10" s="42" t="inlineStr">
        <is>
          <t>—</t>
        </is>
      </c>
      <c r="F10" s="9" t="inlineStr">
        <is>
          <t>tk</t>
        </is>
      </c>
      <c r="G10" s="43" t="n">
        <v>1</v>
      </c>
      <c r="H10" s="44" t="n"/>
      <c r="I10" s="45">
        <f>$G10*H10</f>
        <v/>
      </c>
      <c r="J10" s="44" t="n"/>
      <c r="K10" s="45">
        <f>$G10*J10</f>
        <v/>
      </c>
      <c r="L10" s="44" t="n"/>
      <c r="M10" s="45">
        <f>$G10*L10</f>
        <v/>
      </c>
      <c r="N10" s="44" t="n"/>
      <c r="O10" s="45">
        <f>$G10*N10</f>
        <v/>
      </c>
      <c r="P10" s="46">
        <f>H10+J10+L10+N10</f>
        <v/>
      </c>
      <c r="Q10" s="46">
        <f>$G10*P10</f>
        <v/>
      </c>
    </row>
    <row r="11" ht="30" customHeight="1">
      <c r="A11" s="47" t="inlineStr">
        <is>
          <t>A.1.6</t>
        </is>
      </c>
      <c r="B11" s="10" t="inlineStr">
        <is>
          <t>02 41 00</t>
        </is>
      </c>
      <c r="C11" s="48" t="inlineStr">
        <is>
          <t>Moloz çuvallama, yatay-düşey taşıma ve döküm sahasına nakli</t>
        </is>
      </c>
      <c r="D11" s="49" t="inlineStr">
        <is>
          <t>Tüm mahaller</t>
        </is>
      </c>
      <c r="E11" s="50" t="inlineStr">
        <is>
          <t>—</t>
        </is>
      </c>
      <c r="F11" s="51" t="inlineStr">
        <is>
          <t>m³</t>
        </is>
      </c>
      <c r="G11" s="52" t="n">
        <v>13.47</v>
      </c>
      <c r="H11" s="44" t="n"/>
      <c r="I11" s="53">
        <f>$G11*H11</f>
        <v/>
      </c>
      <c r="J11" s="44" t="n"/>
      <c r="K11" s="53">
        <f>$G11*J11</f>
        <v/>
      </c>
      <c r="L11" s="44" t="n"/>
      <c r="M11" s="53">
        <f>$G11*L11</f>
        <v/>
      </c>
      <c r="N11" s="44" t="n"/>
      <c r="O11" s="53">
        <f>$G11*N11</f>
        <v/>
      </c>
      <c r="P11" s="54">
        <f>H11+J11+L11+N11</f>
        <v/>
      </c>
      <c r="Q11" s="54">
        <f>$G11*P11</f>
        <v/>
      </c>
    </row>
    <row r="12" ht="18" customHeight="1">
      <c r="A12" s="28" t="inlineStr">
        <is>
          <t>B</t>
        </is>
      </c>
      <c r="B12" s="37" t="inlineStr">
        <is>
          <t>09 21 16   ·   BÖLME DUVAR VE ALÇIPAN İŞLERİ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</row>
    <row r="13" ht="30" customHeight="1">
      <c r="A13" s="47" t="inlineStr">
        <is>
          <t>B.1.1</t>
        </is>
      </c>
      <c r="B13" s="10" t="inlineStr">
        <is>
          <t>09 21 16</t>
        </is>
      </c>
      <c r="C13" s="48" t="inlineStr">
        <is>
          <t>D2 alçıpan bölme — 50 mm C profil @400 + 40 mm taşyünü + her yüz 2×12,5 mm A tipi alçıpan (toplam 100 mm)</t>
        </is>
      </c>
      <c r="D13" s="49" t="inlineStr">
        <is>
          <t>105 · 108 cephe</t>
        </is>
      </c>
      <c r="E13" s="50" t="inlineStr">
        <is>
          <t>Knauf · Lafarge · Dalsan — eşdeğer</t>
        </is>
      </c>
      <c r="F13" s="51" t="inlineStr">
        <is>
          <t>m²</t>
        </is>
      </c>
      <c r="G13" s="52" t="n">
        <v>28.44</v>
      </c>
      <c r="H13" s="44" t="n"/>
      <c r="I13" s="53">
        <f>$G13*H13</f>
        <v/>
      </c>
      <c r="J13" s="44" t="n"/>
      <c r="K13" s="53">
        <f>$G13*J13</f>
        <v/>
      </c>
      <c r="L13" s="44" t="n"/>
      <c r="M13" s="53">
        <f>$G13*L13</f>
        <v/>
      </c>
      <c r="N13" s="44" t="n"/>
      <c r="O13" s="53">
        <f>$G13*N13</f>
        <v/>
      </c>
      <c r="P13" s="54">
        <f>H13+J13+L13+N13</f>
        <v/>
      </c>
      <c r="Q13" s="54">
        <f>$G13*P13</f>
        <v/>
      </c>
    </row>
    <row r="14" ht="30" customHeight="1">
      <c r="A14" s="39" t="inlineStr">
        <is>
          <t>B.1.2</t>
        </is>
      </c>
      <c r="B14" s="40" t="inlineStr">
        <is>
          <t>09 21 16</t>
        </is>
      </c>
      <c r="C14" s="7" t="inlineStr">
        <is>
          <t>D3 alçıpan bölme — ıslak yüzde 2×12,5 mm H2 (yeşil) alçıpan, kuru yüzde 2×12,5 mm A tipi (toplam 100 mm)</t>
        </is>
      </c>
      <c r="D14" s="41" t="inlineStr">
        <is>
          <t>106·107·109·110</t>
        </is>
      </c>
      <c r="E14" s="42" t="inlineStr">
        <is>
          <t>Knauf · Lafarge · Dalsan — eşdeğer</t>
        </is>
      </c>
      <c r="F14" s="9" t="inlineStr">
        <is>
          <t>m²</t>
        </is>
      </c>
      <c r="G14" s="43" t="n">
        <v>60.42</v>
      </c>
      <c r="H14" s="44" t="n"/>
      <c r="I14" s="45">
        <f>$G14*H14</f>
        <v/>
      </c>
      <c r="J14" s="44" t="n"/>
      <c r="K14" s="45">
        <f>$G14*J14</f>
        <v/>
      </c>
      <c r="L14" s="44" t="n"/>
      <c r="M14" s="45">
        <f>$G14*L14</f>
        <v/>
      </c>
      <c r="N14" s="44" t="n"/>
      <c r="O14" s="45">
        <f>$G14*N14</f>
        <v/>
      </c>
      <c r="P14" s="46">
        <f>H14+J14+L14+N14</f>
        <v/>
      </c>
      <c r="Q14" s="46">
        <f>$G14*P14</f>
        <v/>
      </c>
    </row>
    <row r="15" ht="30" customHeight="1">
      <c r="A15" s="47" t="inlineStr">
        <is>
          <t>B.1.3</t>
        </is>
      </c>
      <c r="B15" s="10" t="inlineStr">
        <is>
          <t>09 21 16</t>
        </is>
      </c>
      <c r="C15" s="48" t="inlineStr">
        <is>
          <t>D4 akustik giydirme — bağımsız C profil karkas + 50 mm taşyünü + 12,5 mm akustik + 12,5 mm A tipi alçıpan (toplam 95 mm)</t>
        </is>
      </c>
      <c r="D15" s="49" t="inlineStr">
        <is>
          <t>102 güney çeper</t>
        </is>
      </c>
      <c r="E15" s="50" t="inlineStr">
        <is>
          <t>Knauf · Lafarge · Dalsan — eşdeğer</t>
        </is>
      </c>
      <c r="F15" s="51" t="inlineStr">
        <is>
          <t>m²</t>
        </is>
      </c>
      <c r="G15" s="52" t="n">
        <v>16.08</v>
      </c>
      <c r="H15" s="44" t="n"/>
      <c r="I15" s="53">
        <f>$G15*H15</f>
        <v/>
      </c>
      <c r="J15" s="44" t="n"/>
      <c r="K15" s="53">
        <f>$G15*J15</f>
        <v/>
      </c>
      <c r="L15" s="44" t="n"/>
      <c r="M15" s="53">
        <f>$G15*L15</f>
        <v/>
      </c>
      <c r="N15" s="44" t="n"/>
      <c r="O15" s="53">
        <f>$G15*N15</f>
        <v/>
      </c>
      <c r="P15" s="54">
        <f>H15+J15+L15+N15</f>
        <v/>
      </c>
      <c r="Q15" s="54">
        <f>$G15*P15</f>
        <v/>
      </c>
    </row>
    <row r="16" ht="18" customHeight="1">
      <c r="A16" s="28" t="inlineStr">
        <is>
          <t>C</t>
        </is>
      </c>
      <c r="B16" s="37" t="inlineStr">
        <is>
          <t>03 54 00   ·   ŞAP VE TESVİYE İŞLERİ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</row>
    <row r="17" ht="30" customHeight="1">
      <c r="A17" s="47" t="inlineStr">
        <is>
          <t>C.1.1</t>
        </is>
      </c>
      <c r="B17" s="10" t="inlineStr">
        <is>
          <t>03 54 00</t>
        </is>
      </c>
      <c r="C17" s="48" t="inlineStr">
        <is>
          <t>Çimento esaslı kendinden yayılan tesviye şapı 3 mm — Z1 bölgesi (bitmiş kot ±0,00 eşitlemesi)</t>
        </is>
      </c>
      <c r="D17" s="49" t="inlineStr">
        <is>
          <t>102</t>
        </is>
      </c>
      <c r="E17" s="50" t="inlineStr">
        <is>
          <t>Ardex · Weber · Baumit — eşdeğer</t>
        </is>
      </c>
      <c r="F17" s="51" t="inlineStr">
        <is>
          <t>m²</t>
        </is>
      </c>
      <c r="G17" s="52" t="n">
        <v>31.76</v>
      </c>
      <c r="H17" s="44" t="n"/>
      <c r="I17" s="53">
        <f>$G17*H17</f>
        <v/>
      </c>
      <c r="J17" s="44" t="n"/>
      <c r="K17" s="53">
        <f>$G17*J17</f>
        <v/>
      </c>
      <c r="L17" s="44" t="n"/>
      <c r="M17" s="53">
        <f>$G17*L17</f>
        <v/>
      </c>
      <c r="N17" s="44" t="n"/>
      <c r="O17" s="53">
        <f>$G17*N17</f>
        <v/>
      </c>
      <c r="P17" s="54">
        <f>H17+J17+L17+N17</f>
        <v/>
      </c>
      <c r="Q17" s="54">
        <f>$G17*P17</f>
        <v/>
      </c>
    </row>
    <row r="18" ht="30" customHeight="1">
      <c r="A18" s="39" t="inlineStr">
        <is>
          <t>C.1.2</t>
        </is>
      </c>
      <c r="B18" s="40" t="inlineStr">
        <is>
          <t>03 54 00</t>
        </is>
      </c>
      <c r="C18" s="7" t="inlineStr">
        <is>
          <t>Çimento esaslı tesviye şapı 30 mm — Z2 bölgesi (bitmiş kot ±0,00 eşitlemesi)</t>
        </is>
      </c>
      <c r="D18" s="41" t="inlineStr">
        <is>
          <t>103</t>
        </is>
      </c>
      <c r="E18" s="42" t="inlineStr">
        <is>
          <t>Ardex · Weber · Baumit — eşdeğer</t>
        </is>
      </c>
      <c r="F18" s="9" t="inlineStr">
        <is>
          <t>m²</t>
        </is>
      </c>
      <c r="G18" s="43" t="n">
        <v>22.31</v>
      </c>
      <c r="H18" s="44" t="n"/>
      <c r="I18" s="45">
        <f>$G18*H18</f>
        <v/>
      </c>
      <c r="J18" s="44" t="n"/>
      <c r="K18" s="45">
        <f>$G18*J18</f>
        <v/>
      </c>
      <c r="L18" s="44" t="n"/>
      <c r="M18" s="45">
        <f>$G18*L18</f>
        <v/>
      </c>
      <c r="N18" s="44" t="n"/>
      <c r="O18" s="45">
        <f>$G18*N18</f>
        <v/>
      </c>
      <c r="P18" s="46">
        <f>H18+J18+L18+N18</f>
        <v/>
      </c>
      <c r="Q18" s="46">
        <f>$G18*P18</f>
        <v/>
      </c>
    </row>
    <row r="19" ht="30" customHeight="1">
      <c r="A19" s="47" t="inlineStr">
        <is>
          <t>C.1.3</t>
        </is>
      </c>
      <c r="B19" s="10" t="inlineStr">
        <is>
          <t>03 54 00</t>
        </is>
      </c>
      <c r="C19" s="48" t="inlineStr">
        <is>
          <t>Çimento esaslı tesviye şapı 42 mm — Z3 bölgesi (bitmiş kot ±0,00 eşitlemesi)</t>
        </is>
      </c>
      <c r="D19" s="49" t="inlineStr">
        <is>
          <t>101 · 104</t>
        </is>
      </c>
      <c r="E19" s="50" t="inlineStr">
        <is>
          <t>Ardex · Weber · Baumit — eşdeğer</t>
        </is>
      </c>
      <c r="F19" s="51" t="inlineStr">
        <is>
          <t>m²</t>
        </is>
      </c>
      <c r="G19" s="52" t="n">
        <v>32.98</v>
      </c>
      <c r="H19" s="44" t="n"/>
      <c r="I19" s="53">
        <f>$G19*H19</f>
        <v/>
      </c>
      <c r="J19" s="44" t="n"/>
      <c r="K19" s="53">
        <f>$G19*J19</f>
        <v/>
      </c>
      <c r="L19" s="44" t="n"/>
      <c r="M19" s="53">
        <f>$G19*L19</f>
        <v/>
      </c>
      <c r="N19" s="44" t="n"/>
      <c r="O19" s="53">
        <f>$G19*N19</f>
        <v/>
      </c>
      <c r="P19" s="54">
        <f>H19+J19+L19+N19</f>
        <v/>
      </c>
      <c r="Q19" s="54">
        <f>$G19*P19</f>
        <v/>
      </c>
    </row>
    <row r="20" ht="30" customHeight="1">
      <c r="A20" s="39" t="inlineStr">
        <is>
          <t>C.1.4</t>
        </is>
      </c>
      <c r="B20" s="40" t="inlineStr">
        <is>
          <t>03 54 00</t>
        </is>
      </c>
      <c r="C20" s="7" t="inlineStr">
        <is>
          <t>Çimento esaslı tesviye şapı 38 mm — Z5 bölgesi (bitmiş kot ±0,00 eşitlemesi)</t>
        </is>
      </c>
      <c r="D20" s="41" t="inlineStr">
        <is>
          <t>105 · 108</t>
        </is>
      </c>
      <c r="E20" s="42" t="inlineStr">
        <is>
          <t>Ardex · Weber · Baumit — eşdeğer</t>
        </is>
      </c>
      <c r="F20" s="9" t="inlineStr">
        <is>
          <t>m²</t>
        </is>
      </c>
      <c r="G20" s="43" t="n">
        <v>10.07</v>
      </c>
      <c r="H20" s="44" t="n"/>
      <c r="I20" s="45">
        <f>$G20*H20</f>
        <v/>
      </c>
      <c r="J20" s="44" t="n"/>
      <c r="K20" s="45">
        <f>$G20*J20</f>
        <v/>
      </c>
      <c r="L20" s="44" t="n"/>
      <c r="M20" s="45">
        <f>$G20*L20</f>
        <v/>
      </c>
      <c r="N20" s="44" t="n"/>
      <c r="O20" s="45">
        <f>$G20*N20</f>
        <v/>
      </c>
      <c r="P20" s="46">
        <f>H20+J20+L20+N20</f>
        <v/>
      </c>
      <c r="Q20" s="46">
        <f>$G20*P20</f>
        <v/>
      </c>
    </row>
    <row r="21" ht="30" customHeight="1">
      <c r="A21" s="47" t="inlineStr">
        <is>
          <t>C.1.5</t>
        </is>
      </c>
      <c r="B21" s="10" t="inlineStr">
        <is>
          <t>03 54 00</t>
        </is>
      </c>
      <c r="C21" s="48" t="inlineStr">
        <is>
          <t>Islak hacim tesisat şapı + süzgeğe %1,5 eğimli eğim şapı (ort. 40 mm)</t>
        </is>
      </c>
      <c r="D21" s="49" t="inlineStr">
        <is>
          <t>106·107·109·110</t>
        </is>
      </c>
      <c r="E21" s="50" t="inlineStr">
        <is>
          <t>Ardex · Weber · Baumit — eşdeğer</t>
        </is>
      </c>
      <c r="F21" s="51" t="inlineStr">
        <is>
          <t>m²</t>
        </is>
      </c>
      <c r="G21" s="52" t="n">
        <v>6.19</v>
      </c>
      <c r="H21" s="44" t="n"/>
      <c r="I21" s="53">
        <f>$G21*H21</f>
        <v/>
      </c>
      <c r="J21" s="44" t="n"/>
      <c r="K21" s="53">
        <f>$G21*J21</f>
        <v/>
      </c>
      <c r="L21" s="44" t="n"/>
      <c r="M21" s="53">
        <f>$G21*L21</f>
        <v/>
      </c>
      <c r="N21" s="44" t="n"/>
      <c r="O21" s="53">
        <f>$G21*N21</f>
        <v/>
      </c>
      <c r="P21" s="54">
        <f>H21+J21+L21+N21</f>
        <v/>
      </c>
      <c r="Q21" s="54">
        <f>$G21*P21</f>
        <v/>
      </c>
    </row>
    <row r="22" ht="18" customHeight="1">
      <c r="A22" s="28" t="inlineStr">
        <is>
          <t>D</t>
        </is>
      </c>
      <c r="B22" s="37" t="inlineStr">
        <is>
          <t>09 65 00   ·   ZEMİN KAPLAMA VE SÜPÜRGELİK İŞLERİ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</row>
    <row r="23" ht="30" customHeight="1">
      <c r="A23" s="47" t="inlineStr">
        <is>
          <t>D.1.1</t>
        </is>
      </c>
      <c r="B23" s="10" t="inlineStr">
        <is>
          <t>09 65 00</t>
        </is>
      </c>
      <c r="C23" s="48" t="inlineStr">
        <is>
          <t>Z1 — Granül kauçuk karo 1000×1000 mm, 40 mm, EPDM %10 taneli, Shore A 55±5 (EN 14041 · Bfl-s1) — puzzle kilitli kuru derz, çeperde 5 mm genleşme boşluğu</t>
        </is>
      </c>
      <c r="D23" s="49" t="inlineStr">
        <is>
          <t>102</t>
        </is>
      </c>
      <c r="E23" s="50" t="inlineStr">
        <is>
          <t>Pavigym · Gerflor · Tarkett — eşdeğer</t>
        </is>
      </c>
      <c r="F23" s="51" t="inlineStr">
        <is>
          <t>m²</t>
        </is>
      </c>
      <c r="G23" s="52" t="n">
        <v>31.76</v>
      </c>
      <c r="H23" s="44" t="n"/>
      <c r="I23" s="53">
        <f>$G23*H23</f>
        <v/>
      </c>
      <c r="J23" s="44" t="n"/>
      <c r="K23" s="53">
        <f>$G23*J23</f>
        <v/>
      </c>
      <c r="L23" s="44" t="n"/>
      <c r="M23" s="53">
        <f>$G23*L23</f>
        <v/>
      </c>
      <c r="N23" s="44" t="n"/>
      <c r="O23" s="53">
        <f>$G23*N23</f>
        <v/>
      </c>
      <c r="P23" s="54">
        <f>H23+J23+L23+N23</f>
        <v/>
      </c>
      <c r="Q23" s="54">
        <f>$G23*P23</f>
        <v/>
      </c>
    </row>
    <row r="24" ht="30" customHeight="1">
      <c r="A24" s="39" t="inlineStr">
        <is>
          <t>D.1.2</t>
        </is>
      </c>
      <c r="B24" s="40" t="inlineStr">
        <is>
          <t>09 65 00</t>
        </is>
      </c>
      <c r="C24" s="7" t="inlineStr">
        <is>
          <t>Z2 — Granül kauçuk karo 1000×1000 mm, 20 mm, Shore A 60 (EN 14041 · Bfl-s1) — puzzle kilitli kuru derz</t>
        </is>
      </c>
      <c r="D24" s="41" t="inlineStr">
        <is>
          <t>103</t>
        </is>
      </c>
      <c r="E24" s="42" t="inlineStr">
        <is>
          <t>Pavigym · Gerflor · Tarkett — eşdeğer</t>
        </is>
      </c>
      <c r="F24" s="9" t="inlineStr">
        <is>
          <t>m²</t>
        </is>
      </c>
      <c r="G24" s="43" t="n">
        <v>22.31</v>
      </c>
      <c r="H24" s="44" t="n"/>
      <c r="I24" s="45">
        <f>$G24*H24</f>
        <v/>
      </c>
      <c r="J24" s="44" t="n"/>
      <c r="K24" s="45">
        <f>$G24*J24</f>
        <v/>
      </c>
      <c r="L24" s="44" t="n"/>
      <c r="M24" s="45">
        <f>$G24*L24</f>
        <v/>
      </c>
      <c r="N24" s="44" t="n"/>
      <c r="O24" s="45">
        <f>$G24*N24</f>
        <v/>
      </c>
      <c r="P24" s="46">
        <f>H24+J24+L24+N24</f>
        <v/>
      </c>
      <c r="Q24" s="46">
        <f>$G24*P24</f>
        <v/>
      </c>
    </row>
    <row r="25" ht="30" customHeight="1">
      <c r="A25" s="47" t="inlineStr">
        <is>
          <t>D.1.3</t>
        </is>
      </c>
      <c r="B25" s="10" t="inlineStr">
        <is>
          <t>09 65 00</t>
        </is>
      </c>
      <c r="C25" s="48" t="inlineStr">
        <is>
          <t>Z3 — SPC klik LVT 5 mm, 0,55 mm aşınma tabakası (EN ISO 10874 sınıf 33 / AC5) + 2 mm IXPE akustik şilte — çeperde 8 mm genleşme boşluğu</t>
        </is>
      </c>
      <c r="D25" s="49" t="inlineStr">
        <is>
          <t>101 · 104</t>
        </is>
      </c>
      <c r="E25" s="50" t="inlineStr">
        <is>
          <t>Pavigym · Gerflor · Tarkett — eşdeğer</t>
        </is>
      </c>
      <c r="F25" s="51" t="inlineStr">
        <is>
          <t>m²</t>
        </is>
      </c>
      <c r="G25" s="52" t="n">
        <v>32.98</v>
      </c>
      <c r="H25" s="44" t="n"/>
      <c r="I25" s="53">
        <f>$G25*H25</f>
        <v/>
      </c>
      <c r="J25" s="44" t="n"/>
      <c r="K25" s="53">
        <f>$G25*J25</f>
        <v/>
      </c>
      <c r="L25" s="44" t="n"/>
      <c r="M25" s="53">
        <f>$G25*L25</f>
        <v/>
      </c>
      <c r="N25" s="44" t="n"/>
      <c r="O25" s="53">
        <f>$G25*N25</f>
        <v/>
      </c>
      <c r="P25" s="54">
        <f>H25+J25+L25+N25</f>
        <v/>
      </c>
      <c r="Q25" s="54">
        <f>$G25*P25</f>
        <v/>
      </c>
    </row>
    <row r="26" ht="30" customHeight="1">
      <c r="A26" s="39" t="inlineStr">
        <is>
          <t>D.1.4</t>
        </is>
      </c>
      <c r="B26" s="40" t="inlineStr">
        <is>
          <t>09 65 00</t>
        </is>
      </c>
      <c r="C26" s="7" t="inlineStr">
        <is>
          <t>Z4 — Porselen seramik 300×300 mm, R11 / B kaymazlık (EN 16165) + C2TE S1 yapıştırıcı</t>
        </is>
      </c>
      <c r="D26" s="41" t="inlineStr">
        <is>
          <t>106 · 107 · 109 · 110</t>
        </is>
      </c>
      <c r="E26" s="42" t="inlineStr">
        <is>
          <t>Pavigym · Gerflor · Tarkett — eşdeğer</t>
        </is>
      </c>
      <c r="F26" s="9" t="inlineStr">
        <is>
          <t>m²</t>
        </is>
      </c>
      <c r="G26" s="43" t="n">
        <v>6.19</v>
      </c>
      <c r="H26" s="44" t="n"/>
      <c r="I26" s="45">
        <f>$G26*H26</f>
        <v/>
      </c>
      <c r="J26" s="44" t="n"/>
      <c r="K26" s="45">
        <f>$G26*J26</f>
        <v/>
      </c>
      <c r="L26" s="44" t="n"/>
      <c r="M26" s="45">
        <f>$G26*L26</f>
        <v/>
      </c>
      <c r="N26" s="44" t="n"/>
      <c r="O26" s="45">
        <f>$G26*N26</f>
        <v/>
      </c>
      <c r="P26" s="46">
        <f>H26+J26+L26+N26</f>
        <v/>
      </c>
      <c r="Q26" s="46">
        <f>$G26*P26</f>
        <v/>
      </c>
    </row>
    <row r="27" ht="30" customHeight="1">
      <c r="A27" s="47" t="inlineStr">
        <is>
          <t>D.1.5</t>
        </is>
      </c>
      <c r="B27" s="10" t="inlineStr">
        <is>
          <t>09 65 00</t>
        </is>
      </c>
      <c r="C27" s="48" t="inlineStr">
        <is>
          <t>Z5 — Porselen seramik 600×600 mm, R10, rektifiye, 2 mm derz (EN 14411 BIa) + C2TE yapıştırıcı</t>
        </is>
      </c>
      <c r="D27" s="49" t="inlineStr">
        <is>
          <t>105 · 108</t>
        </is>
      </c>
      <c r="E27" s="50" t="inlineStr">
        <is>
          <t>Pavigym · Gerflor · Tarkett — eşdeğer</t>
        </is>
      </c>
      <c r="F27" s="51" t="inlineStr">
        <is>
          <t>m²</t>
        </is>
      </c>
      <c r="G27" s="52" t="n">
        <v>10.07</v>
      </c>
      <c r="H27" s="44" t="n"/>
      <c r="I27" s="53">
        <f>$G27*H27</f>
        <v/>
      </c>
      <c r="J27" s="44" t="n"/>
      <c r="K27" s="53">
        <f>$G27*J27</f>
        <v/>
      </c>
      <c r="L27" s="44" t="n"/>
      <c r="M27" s="53">
        <f>$G27*L27</f>
        <v/>
      </c>
      <c r="N27" s="44" t="n"/>
      <c r="O27" s="53">
        <f>$G27*N27</f>
        <v/>
      </c>
      <c r="P27" s="54">
        <f>H27+J27+L27+N27</f>
        <v/>
      </c>
      <c r="Q27" s="54">
        <f>$G27*P27</f>
        <v/>
      </c>
    </row>
    <row r="28" ht="30" customHeight="1">
      <c r="A28" s="39" t="inlineStr">
        <is>
          <t>D.1.6</t>
        </is>
      </c>
      <c r="B28" s="40" t="inlineStr">
        <is>
          <t>09 65 00</t>
        </is>
      </c>
      <c r="C28" s="7" t="inlineStr">
        <is>
          <t>Kauçuk titreşim yalıtım matı 10 mm (SBR granül 700 kg/m³) — duvara 50 mm yukarı dönüşlü yüzer döşeme</t>
        </is>
      </c>
      <c r="D28" s="41" t="inlineStr">
        <is>
          <t>102</t>
        </is>
      </c>
      <c r="E28" s="42" t="inlineStr">
        <is>
          <t>Pavigym · Gerflor · Tarkett — eşdeğer</t>
        </is>
      </c>
      <c r="F28" s="9" t="inlineStr">
        <is>
          <t>m²</t>
        </is>
      </c>
      <c r="G28" s="43" t="n">
        <v>31.76</v>
      </c>
      <c r="H28" s="44" t="n"/>
      <c r="I28" s="45">
        <f>$G28*H28</f>
        <v/>
      </c>
      <c r="J28" s="44" t="n"/>
      <c r="K28" s="45">
        <f>$G28*J28</f>
        <v/>
      </c>
      <c r="L28" s="44" t="n"/>
      <c r="M28" s="45">
        <f>$G28*L28</f>
        <v/>
      </c>
      <c r="N28" s="44" t="n"/>
      <c r="O28" s="45">
        <f>$G28*N28</f>
        <v/>
      </c>
      <c r="P28" s="46">
        <f>H28+J28+L28+N28</f>
        <v/>
      </c>
      <c r="Q28" s="46">
        <f>$G28*P28</f>
        <v/>
      </c>
    </row>
    <row r="29" ht="30" customHeight="1">
      <c r="A29" s="47" t="inlineStr">
        <is>
          <t>D.2.1</t>
        </is>
      </c>
      <c r="B29" s="10" t="inlineStr">
        <is>
          <t>09 65 00</t>
        </is>
      </c>
      <c r="C29" s="48" t="inlineStr">
        <is>
          <t>Kauçuk süpürgelik 100×8 mm — zemin kaplamasıyla aynı malzeme, üst kenarı 45° pahlı</t>
        </is>
      </c>
      <c r="D29" s="49" t="inlineStr">
        <is>
          <t>102 · 103</t>
        </is>
      </c>
      <c r="E29" s="50" t="inlineStr">
        <is>
          <t>Pavigym · Gerflor · Tarkett — eşdeğer</t>
        </is>
      </c>
      <c r="F29" s="51" t="inlineStr">
        <is>
          <t>mt</t>
        </is>
      </c>
      <c r="G29" s="52" t="n">
        <v>40.62</v>
      </c>
      <c r="H29" s="44" t="n"/>
      <c r="I29" s="53">
        <f>$G29*H29</f>
        <v/>
      </c>
      <c r="J29" s="44" t="n"/>
      <c r="K29" s="53">
        <f>$G29*J29</f>
        <v/>
      </c>
      <c r="L29" s="44" t="n"/>
      <c r="M29" s="53">
        <f>$G29*L29</f>
        <v/>
      </c>
      <c r="N29" s="44" t="n"/>
      <c r="O29" s="53">
        <f>$G29*N29</f>
        <v/>
      </c>
      <c r="P29" s="54">
        <f>H29+J29+L29+N29</f>
        <v/>
      </c>
      <c r="Q29" s="54">
        <f>$G29*P29</f>
        <v/>
      </c>
    </row>
    <row r="30" ht="30" customHeight="1">
      <c r="A30" s="39" t="inlineStr">
        <is>
          <t>D.2.2</t>
        </is>
      </c>
      <c r="B30" s="40" t="inlineStr">
        <is>
          <t>09 65 00</t>
        </is>
      </c>
      <c r="C30" s="7" t="inlineStr">
        <is>
          <t>MDF lake süpürgelik 80×16 mm — RAL 9003, akrilik mastik ile duvara yalanır</t>
        </is>
      </c>
      <c r="D30" s="41" t="inlineStr">
        <is>
          <t>101 · 104</t>
        </is>
      </c>
      <c r="E30" s="42" t="inlineStr">
        <is>
          <t>Pavigym · Gerflor · Tarkett — eşdeğer</t>
        </is>
      </c>
      <c r="F30" s="9" t="inlineStr">
        <is>
          <t>mt</t>
        </is>
      </c>
      <c r="G30" s="43" t="n">
        <v>23.65</v>
      </c>
      <c r="H30" s="44" t="n"/>
      <c r="I30" s="45">
        <f>$G30*H30</f>
        <v/>
      </c>
      <c r="J30" s="44" t="n"/>
      <c r="K30" s="45">
        <f>$G30*J30</f>
        <v/>
      </c>
      <c r="L30" s="44" t="n"/>
      <c r="M30" s="45">
        <f>$G30*L30</f>
        <v/>
      </c>
      <c r="N30" s="44" t="n"/>
      <c r="O30" s="45">
        <f>$G30*N30</f>
        <v/>
      </c>
      <c r="P30" s="46">
        <f>H30+J30+L30+N30</f>
        <v/>
      </c>
      <c r="Q30" s="46">
        <f>$G30*P30</f>
        <v/>
      </c>
    </row>
    <row r="31" ht="30" customHeight="1">
      <c r="A31" s="47" t="inlineStr">
        <is>
          <t>D.2.4</t>
        </is>
      </c>
      <c r="B31" s="10" t="inlineStr">
        <is>
          <t>09 65 00</t>
        </is>
      </c>
      <c r="C31" s="48" t="inlineStr">
        <is>
          <t>Porselen süpürgelik 80 mm — zemin karosundan kesme, rektifiye kenar</t>
        </is>
      </c>
      <c r="D31" s="49" t="inlineStr">
        <is>
          <t>105 · 108</t>
        </is>
      </c>
      <c r="E31" s="50" t="inlineStr">
        <is>
          <t>Pavigym · Gerflor · Tarkett — eşdeğer</t>
        </is>
      </c>
      <c r="F31" s="51" t="inlineStr">
        <is>
          <t>mt</t>
        </is>
      </c>
      <c r="G31" s="52" t="n">
        <v>16.17</v>
      </c>
      <c r="H31" s="44" t="n"/>
      <c r="I31" s="53">
        <f>$G31*H31</f>
        <v/>
      </c>
      <c r="J31" s="44" t="n"/>
      <c r="K31" s="53">
        <f>$G31*J31</f>
        <v/>
      </c>
      <c r="L31" s="44" t="n"/>
      <c r="M31" s="53">
        <f>$G31*L31</f>
        <v/>
      </c>
      <c r="N31" s="44" t="n"/>
      <c r="O31" s="53">
        <f>$G31*N31</f>
        <v/>
      </c>
      <c r="P31" s="54">
        <f>H31+J31+L31+N31</f>
        <v/>
      </c>
      <c r="Q31" s="54">
        <f>$G31*P31</f>
        <v/>
      </c>
    </row>
    <row r="32" ht="18" customHeight="1">
      <c r="A32" s="28" t="inlineStr">
        <is>
          <t>E</t>
        </is>
      </c>
      <c r="B32" s="37" t="inlineStr">
        <is>
          <t>09 30 00   ·   SERAMİK VE SU YALITIMI İŞLERİ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</row>
    <row r="33" ht="30" customHeight="1">
      <c r="A33" s="47" t="inlineStr">
        <is>
          <t>E.1.1</t>
        </is>
      </c>
      <c r="B33" s="10" t="inlineStr">
        <is>
          <t>09 30 00</t>
        </is>
      </c>
      <c r="C33" s="48" t="inlineStr">
        <is>
          <t>D5 duvar seramiği 300×600 mm, rektifiye — duş kabininde tavana kadar</t>
        </is>
      </c>
      <c r="D33" s="49" t="inlineStr">
        <is>
          <t>106 · 109</t>
        </is>
      </c>
      <c r="E33" s="50" t="inlineStr">
        <is>
          <t>Vitra · Kalekim · Weber — eşdeğer</t>
        </is>
      </c>
      <c r="F33" s="51" t="inlineStr">
        <is>
          <t>m²</t>
        </is>
      </c>
      <c r="G33" s="52" t="n">
        <v>21.68</v>
      </c>
      <c r="H33" s="44" t="n"/>
      <c r="I33" s="53">
        <f>$G33*H33</f>
        <v/>
      </c>
      <c r="J33" s="44" t="n"/>
      <c r="K33" s="53">
        <f>$G33*J33</f>
        <v/>
      </c>
      <c r="L33" s="44" t="n"/>
      <c r="M33" s="53">
        <f>$G33*L33</f>
        <v/>
      </c>
      <c r="N33" s="44" t="n"/>
      <c r="O33" s="53">
        <f>$G33*N33</f>
        <v/>
      </c>
      <c r="P33" s="54">
        <f>H33+J33+L33+N33</f>
        <v/>
      </c>
      <c r="Q33" s="54">
        <f>$G33*P33</f>
        <v/>
      </c>
    </row>
    <row r="34" ht="30" customHeight="1">
      <c r="A34" s="39" t="inlineStr">
        <is>
          <t>E.1.2</t>
        </is>
      </c>
      <c r="B34" s="40" t="inlineStr">
        <is>
          <t>09 30 00</t>
        </is>
      </c>
      <c r="C34" s="7" t="inlineStr">
        <is>
          <t>D5 duvar seramiği 300×600 mm — WC'de h = 1,60 m</t>
        </is>
      </c>
      <c r="D34" s="41" t="inlineStr">
        <is>
          <t>107 · 110</t>
        </is>
      </c>
      <c r="E34" s="42" t="inlineStr">
        <is>
          <t>Vitra · Kalekim · Weber — eşdeğer</t>
        </is>
      </c>
      <c r="F34" s="9" t="inlineStr">
        <is>
          <t>m²</t>
        </is>
      </c>
      <c r="G34" s="43" t="n">
        <v>14.46</v>
      </c>
      <c r="H34" s="44" t="n"/>
      <c r="I34" s="45">
        <f>$G34*H34</f>
        <v/>
      </c>
      <c r="J34" s="44" t="n"/>
      <c r="K34" s="45">
        <f>$G34*J34</f>
        <v/>
      </c>
      <c r="L34" s="44" t="n"/>
      <c r="M34" s="45">
        <f>$G34*L34</f>
        <v/>
      </c>
      <c r="N34" s="44" t="n"/>
      <c r="O34" s="45">
        <f>$G34*N34</f>
        <v/>
      </c>
      <c r="P34" s="46">
        <f>H34+J34+L34+N34</f>
        <v/>
      </c>
      <c r="Q34" s="46">
        <f>$G34*P34</f>
        <v/>
      </c>
    </row>
    <row r="35" ht="30" customHeight="1">
      <c r="A35" s="47" t="inlineStr">
        <is>
          <t>E.1.3</t>
        </is>
      </c>
      <c r="B35" s="10" t="inlineStr">
        <is>
          <t>09 30 00</t>
        </is>
      </c>
      <c r="C35" s="48" t="inlineStr">
        <is>
          <t>Çimento esaslı 2 bileşenli su yalıtımı, 2 kat (EN 14891) — zemin</t>
        </is>
      </c>
      <c r="D35" s="49" t="inlineStr">
        <is>
          <t>106·107·109·110</t>
        </is>
      </c>
      <c r="E35" s="50" t="inlineStr">
        <is>
          <t>Vitra · Kalekim · Weber — eşdeğer</t>
        </is>
      </c>
      <c r="F35" s="51" t="inlineStr">
        <is>
          <t>m²</t>
        </is>
      </c>
      <c r="G35" s="52" t="n">
        <v>6.19</v>
      </c>
      <c r="H35" s="44" t="n"/>
      <c r="I35" s="53">
        <f>$G35*H35</f>
        <v/>
      </c>
      <c r="J35" s="44" t="n"/>
      <c r="K35" s="53">
        <f>$G35*J35</f>
        <v/>
      </c>
      <c r="L35" s="44" t="n"/>
      <c r="M35" s="53">
        <f>$G35*L35</f>
        <v/>
      </c>
      <c r="N35" s="44" t="n"/>
      <c r="O35" s="53">
        <f>$G35*N35</f>
        <v/>
      </c>
      <c r="P35" s="54">
        <f>H35+J35+L35+N35</f>
        <v/>
      </c>
      <c r="Q35" s="54">
        <f>$G35*P35</f>
        <v/>
      </c>
    </row>
    <row r="36" ht="30" customHeight="1">
      <c r="A36" s="39" t="inlineStr">
        <is>
          <t>E.1.4</t>
        </is>
      </c>
      <c r="B36" s="40" t="inlineStr">
        <is>
          <t>09 30 00</t>
        </is>
      </c>
      <c r="C36" s="7" t="inlineStr">
        <is>
          <t>Çimento esaslı su yalıtımı, 2 kat — duvarda dönüş (duşta 2,00 m, WC'de 0,30 m)</t>
        </is>
      </c>
      <c r="D36" s="41" t="inlineStr">
        <is>
          <t>106·107·109·110</t>
        </is>
      </c>
      <c r="E36" s="42" t="inlineStr">
        <is>
          <t>Vitra · Kalekim · Weber — eşdeğer</t>
        </is>
      </c>
      <c r="F36" s="9" t="inlineStr">
        <is>
          <t>m²</t>
        </is>
      </c>
      <c r="G36" s="43" t="n">
        <v>23.47</v>
      </c>
      <c r="H36" s="44" t="n"/>
      <c r="I36" s="45">
        <f>$G36*H36</f>
        <v/>
      </c>
      <c r="J36" s="44" t="n"/>
      <c r="K36" s="45">
        <f>$G36*J36</f>
        <v/>
      </c>
      <c r="L36" s="44" t="n"/>
      <c r="M36" s="45">
        <f>$G36*L36</f>
        <v/>
      </c>
      <c r="N36" s="44" t="n"/>
      <c r="O36" s="45">
        <f>$G36*N36</f>
        <v/>
      </c>
      <c r="P36" s="46">
        <f>H36+J36+L36+N36</f>
        <v/>
      </c>
      <c r="Q36" s="46">
        <f>$G36*P36</f>
        <v/>
      </c>
    </row>
    <row r="37" ht="30" customHeight="1">
      <c r="A37" s="47" t="inlineStr">
        <is>
          <t>E.1.5</t>
        </is>
      </c>
      <c r="B37" s="10" t="inlineStr">
        <is>
          <t>09 30 00</t>
        </is>
      </c>
      <c r="C37" s="48" t="inlineStr">
        <is>
          <t>Elastik su yalıtım bandı 120 mm — zemin-duvar birleşimi ve köşeler</t>
        </is>
      </c>
      <c r="D37" s="49" t="inlineStr">
        <is>
          <t>106·107·109·110</t>
        </is>
      </c>
      <c r="E37" s="50" t="inlineStr">
        <is>
          <t>Vitra · Kalekim · Weber — eşdeğer</t>
        </is>
      </c>
      <c r="F37" s="51" t="inlineStr">
        <is>
          <t>mt</t>
        </is>
      </c>
      <c r="G37" s="52" t="n">
        <v>52.61</v>
      </c>
      <c r="H37" s="44" t="n"/>
      <c r="I37" s="53">
        <f>$G37*H37</f>
        <v/>
      </c>
      <c r="J37" s="44" t="n"/>
      <c r="K37" s="53">
        <f>$G37*J37</f>
        <v/>
      </c>
      <c r="L37" s="44" t="n"/>
      <c r="M37" s="53">
        <f>$G37*L37</f>
        <v/>
      </c>
      <c r="N37" s="44" t="n"/>
      <c r="O37" s="53">
        <f>$G37*N37</f>
        <v/>
      </c>
      <c r="P37" s="54">
        <f>H37+J37+L37+N37</f>
        <v/>
      </c>
      <c r="Q37" s="54">
        <f>$G37*P37</f>
        <v/>
      </c>
    </row>
    <row r="38" ht="18" customHeight="1">
      <c r="A38" s="28" t="inlineStr">
        <is>
          <t>F</t>
        </is>
      </c>
      <c r="B38" s="37" t="inlineStr">
        <is>
          <t>09 51 00   ·   ASMA TAVAN VE BOYA İŞLERİ</t>
        </is>
      </c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</row>
    <row r="39" ht="30" customHeight="1">
      <c r="A39" s="47" t="inlineStr">
        <is>
          <t>F.1.1</t>
        </is>
      </c>
      <c r="B39" s="10" t="inlineStr">
        <is>
          <t>09 51 00</t>
        </is>
      </c>
      <c r="C39" s="48" t="inlineStr">
        <is>
          <t>T2 Alçıpan asma tavan — kuru hacim — kot +2,75</t>
        </is>
      </c>
      <c r="D39" s="49" t="inlineStr">
        <is>
          <t>101 · 104</t>
        </is>
      </c>
      <c r="E39" s="50" t="inlineStr">
        <is>
          <t>Knauf · Dyo · Filli Boya — eşdeğer</t>
        </is>
      </c>
      <c r="F39" s="51" t="inlineStr">
        <is>
          <t>m²</t>
        </is>
      </c>
      <c r="G39" s="52" t="n">
        <v>32.98</v>
      </c>
      <c r="H39" s="44" t="n"/>
      <c r="I39" s="53">
        <f>$G39*H39</f>
        <v/>
      </c>
      <c r="J39" s="44" t="n"/>
      <c r="K39" s="53">
        <f>$G39*J39</f>
        <v/>
      </c>
      <c r="L39" s="44" t="n"/>
      <c r="M39" s="53">
        <f>$G39*L39</f>
        <v/>
      </c>
      <c r="N39" s="44" t="n"/>
      <c r="O39" s="53">
        <f>$G39*N39</f>
        <v/>
      </c>
      <c r="P39" s="54">
        <f>H39+J39+L39+N39</f>
        <v/>
      </c>
      <c r="Q39" s="54">
        <f>$G39*P39</f>
        <v/>
      </c>
    </row>
    <row r="40" ht="30" customHeight="1">
      <c r="A40" s="39" t="inlineStr">
        <is>
          <t>F.1.2</t>
        </is>
      </c>
      <c r="B40" s="40" t="inlineStr">
        <is>
          <t>09 51 00</t>
        </is>
      </c>
      <c r="C40" s="7" t="inlineStr">
        <is>
          <t>T4 Alçıpan asma tavan — soyunma — kot +2,60</t>
        </is>
      </c>
      <c r="D40" s="41" t="inlineStr">
        <is>
          <t>105 · 108</t>
        </is>
      </c>
      <c r="E40" s="42" t="inlineStr">
        <is>
          <t>Knauf · Dyo · Filli Boya — eşdeğer</t>
        </is>
      </c>
      <c r="F40" s="9" t="inlineStr">
        <is>
          <t>m²</t>
        </is>
      </c>
      <c r="G40" s="43" t="n">
        <v>10.07</v>
      </c>
      <c r="H40" s="44" t="n"/>
      <c r="I40" s="45">
        <f>$G40*H40</f>
        <v/>
      </c>
      <c r="J40" s="44" t="n"/>
      <c r="K40" s="45">
        <f>$G40*J40</f>
        <v/>
      </c>
      <c r="L40" s="44" t="n"/>
      <c r="M40" s="45">
        <f>$G40*L40</f>
        <v/>
      </c>
      <c r="N40" s="44" t="n"/>
      <c r="O40" s="45">
        <f>$G40*N40</f>
        <v/>
      </c>
      <c r="P40" s="46">
        <f>H40+J40+L40+N40</f>
        <v/>
      </c>
      <c r="Q40" s="46">
        <f>$G40*P40</f>
        <v/>
      </c>
    </row>
    <row r="41" ht="30" customHeight="1">
      <c r="A41" s="47" t="inlineStr">
        <is>
          <t>F.1.3</t>
        </is>
      </c>
      <c r="B41" s="10" t="inlineStr">
        <is>
          <t>09 51 00</t>
        </is>
      </c>
      <c r="C41" s="48" t="inlineStr">
        <is>
          <t>T3 Alçıpan asma tavan — ıslak hacim — kot +2,40</t>
        </is>
      </c>
      <c r="D41" s="49" t="inlineStr">
        <is>
          <t>106 · 107 · 109 · 110</t>
        </is>
      </c>
      <c r="E41" s="50" t="inlineStr">
        <is>
          <t>Knauf · Dyo · Filli Boya — eşdeğer</t>
        </is>
      </c>
      <c r="F41" s="51" t="inlineStr">
        <is>
          <t>m²</t>
        </is>
      </c>
      <c r="G41" s="52" t="n">
        <v>6.19</v>
      </c>
      <c r="H41" s="44" t="n"/>
      <c r="I41" s="53">
        <f>$G41*H41</f>
        <v/>
      </c>
      <c r="J41" s="44" t="n"/>
      <c r="K41" s="53">
        <f>$G41*J41</f>
        <v/>
      </c>
      <c r="L41" s="44" t="n"/>
      <c r="M41" s="53">
        <f>$G41*L41</f>
        <v/>
      </c>
      <c r="N41" s="44" t="n"/>
      <c r="O41" s="53">
        <f>$G41*N41</f>
        <v/>
      </c>
      <c r="P41" s="54">
        <f>H41+J41+L41+N41</f>
        <v/>
      </c>
      <c r="Q41" s="54">
        <f>$G41*P41</f>
        <v/>
      </c>
    </row>
    <row r="42" ht="30" customHeight="1">
      <c r="A42" s="39" t="inlineStr">
        <is>
          <t>F.1.4</t>
        </is>
      </c>
      <c r="B42" s="40" t="inlineStr">
        <is>
          <t>09 51 00</t>
        </is>
      </c>
      <c r="C42" s="7" t="inlineStr">
        <is>
          <t>T1 açık tavan — döşeme altı raspa, temizlik ve 2 kat siyah akrilik boya (kanal ve askılar dâhil)</t>
        </is>
      </c>
      <c r="D42" s="41" t="inlineStr">
        <is>
          <t>102 · 103</t>
        </is>
      </c>
      <c r="E42" s="42" t="inlineStr">
        <is>
          <t>Knauf · Dyo · Filli Boya — eşdeğer</t>
        </is>
      </c>
      <c r="F42" s="9" t="inlineStr">
        <is>
          <t>m²</t>
        </is>
      </c>
      <c r="G42" s="43" t="n">
        <v>54.07</v>
      </c>
      <c r="H42" s="44" t="n"/>
      <c r="I42" s="45">
        <f>$G42*H42</f>
        <v/>
      </c>
      <c r="J42" s="44" t="n"/>
      <c r="K42" s="45">
        <f>$G42*J42</f>
        <v/>
      </c>
      <c r="L42" s="44" t="n"/>
      <c r="M42" s="45">
        <f>$G42*L42</f>
        <v/>
      </c>
      <c r="N42" s="44" t="n"/>
      <c r="O42" s="45">
        <f>$G42*N42</f>
        <v/>
      </c>
      <c r="P42" s="46">
        <f>H42+J42+L42+N42</f>
        <v/>
      </c>
      <c r="Q42" s="46">
        <f>$G42*P42</f>
        <v/>
      </c>
    </row>
    <row r="43" ht="30" customHeight="1">
      <c r="A43" s="47" t="inlineStr">
        <is>
          <t>F.1.5</t>
        </is>
      </c>
      <c r="B43" s="10" t="inlineStr">
        <is>
          <t>09 51 00</t>
        </is>
      </c>
      <c r="C43" s="48" t="inlineStr">
        <is>
          <t>Asma tavan revizyon kapağı 300×300 mm, menteşeli</t>
        </is>
      </c>
      <c r="D43" s="49" t="inlineStr">
        <is>
          <t>106·107·109·110</t>
        </is>
      </c>
      <c r="E43" s="50" t="inlineStr">
        <is>
          <t>Knauf · Dyo · Filli Boya — eşdeğer</t>
        </is>
      </c>
      <c r="F43" s="51" t="inlineStr">
        <is>
          <t>ad</t>
        </is>
      </c>
      <c r="G43" s="52" t="n">
        <v>4</v>
      </c>
      <c r="H43" s="44" t="n"/>
      <c r="I43" s="53">
        <f>$G43*H43</f>
        <v/>
      </c>
      <c r="J43" s="44" t="n"/>
      <c r="K43" s="53">
        <f>$G43*J43</f>
        <v/>
      </c>
      <c r="L43" s="44" t="n"/>
      <c r="M43" s="53">
        <f>$G43*L43</f>
        <v/>
      </c>
      <c r="N43" s="44" t="n"/>
      <c r="O43" s="53">
        <f>$G43*N43</f>
        <v/>
      </c>
      <c r="P43" s="54">
        <f>H43+J43+L43+N43</f>
        <v/>
      </c>
      <c r="Q43" s="54">
        <f>$G43*P43</f>
        <v/>
      </c>
    </row>
    <row r="44" ht="30" customHeight="1">
      <c r="A44" s="39" t="inlineStr">
        <is>
          <t>F.1.6</t>
        </is>
      </c>
      <c r="B44" s="40" t="inlineStr">
        <is>
          <t>09 51 00</t>
        </is>
      </c>
      <c r="C44" s="7" t="inlineStr">
        <is>
          <t>Akustik taşyünü asma baffle 1200×600×50 mm (αw ≈ 0,90)</t>
        </is>
      </c>
      <c r="D44" s="41" t="inlineStr">
        <is>
          <t>102</t>
        </is>
      </c>
      <c r="E44" s="42" t="inlineStr">
        <is>
          <t>Knauf · Dyo · Filli Boya — eşdeğer</t>
        </is>
      </c>
      <c r="F44" s="9" t="inlineStr">
        <is>
          <t>ad</t>
        </is>
      </c>
      <c r="G44" s="43" t="n">
        <v>12</v>
      </c>
      <c r="H44" s="44" t="n"/>
      <c r="I44" s="45">
        <f>$G44*H44</f>
        <v/>
      </c>
      <c r="J44" s="44" t="n"/>
      <c r="K44" s="45">
        <f>$G44*J44</f>
        <v/>
      </c>
      <c r="L44" s="44" t="n"/>
      <c r="M44" s="45">
        <f>$G44*L44</f>
        <v/>
      </c>
      <c r="N44" s="44" t="n"/>
      <c r="O44" s="45">
        <f>$G44*N44</f>
        <v/>
      </c>
      <c r="P44" s="46">
        <f>H44+J44+L44+N44</f>
        <v/>
      </c>
      <c r="Q44" s="46">
        <f>$G44*P44</f>
        <v/>
      </c>
    </row>
    <row r="45" ht="30" customHeight="1">
      <c r="A45" s="47" t="inlineStr">
        <is>
          <t>F.2.1</t>
        </is>
      </c>
      <c r="B45" s="10" t="inlineStr">
        <is>
          <t>09 51 00</t>
        </is>
      </c>
      <c r="C45" s="48" t="inlineStr">
        <is>
          <t>Saten alçı perdah 2 kat + akrilik astar + su bazlı silikonlu mat iç cephe boyası 2 kat (sınıf 1 yıkanabilir)</t>
        </is>
      </c>
      <c r="D45" s="49" t="inlineStr">
        <is>
          <t>101–105 · 108</t>
        </is>
      </c>
      <c r="E45" s="50" t="inlineStr">
        <is>
          <t>Knauf · Dyo · Filli Boya — eşdeğer</t>
        </is>
      </c>
      <c r="F45" s="51" t="inlineStr">
        <is>
          <t>m²</t>
        </is>
      </c>
      <c r="G45" s="52" t="n">
        <v>286.08</v>
      </c>
      <c r="H45" s="44" t="n"/>
      <c r="I45" s="53">
        <f>$G45*H45</f>
        <v/>
      </c>
      <c r="J45" s="44" t="n"/>
      <c r="K45" s="53">
        <f>$G45*J45</f>
        <v/>
      </c>
      <c r="L45" s="44" t="n"/>
      <c r="M45" s="53">
        <f>$G45*L45</f>
        <v/>
      </c>
      <c r="N45" s="44" t="n"/>
      <c r="O45" s="53">
        <f>$G45*N45</f>
        <v/>
      </c>
      <c r="P45" s="54">
        <f>H45+J45+L45+N45</f>
        <v/>
      </c>
      <c r="Q45" s="54">
        <f>$G45*P45</f>
        <v/>
      </c>
    </row>
    <row r="46" ht="30" customHeight="1">
      <c r="A46" s="39" t="inlineStr">
        <is>
          <t>F.2.2</t>
        </is>
      </c>
      <c r="B46" s="40" t="inlineStr">
        <is>
          <t>09 51 00</t>
        </is>
      </c>
      <c r="C46" s="7" t="inlineStr">
        <is>
          <t>Su bazlı küf önleyici yarı mat banyo boyası, 2 kat — seramik üstü kalan yüzey</t>
        </is>
      </c>
      <c r="D46" s="41" t="inlineStr">
        <is>
          <t>107 · 110</t>
        </is>
      </c>
      <c r="E46" s="42" t="inlineStr">
        <is>
          <t>Knauf · Dyo · Filli Boya — eşdeğer</t>
        </is>
      </c>
      <c r="F46" s="9" t="inlineStr">
        <is>
          <t>m²</t>
        </is>
      </c>
      <c r="G46" s="43" t="n">
        <v>8.35</v>
      </c>
      <c r="H46" s="44" t="n"/>
      <c r="I46" s="45">
        <f>$G46*H46</f>
        <v/>
      </c>
      <c r="J46" s="44" t="n"/>
      <c r="K46" s="45">
        <f>$G46*J46</f>
        <v/>
      </c>
      <c r="L46" s="44" t="n"/>
      <c r="M46" s="45">
        <f>$G46*L46</f>
        <v/>
      </c>
      <c r="N46" s="44" t="n"/>
      <c r="O46" s="45">
        <f>$G46*N46</f>
        <v/>
      </c>
      <c r="P46" s="46">
        <f>H46+J46+L46+N46</f>
        <v/>
      </c>
      <c r="Q46" s="46">
        <f>$G46*P46</f>
        <v/>
      </c>
    </row>
    <row r="47" ht="30" customHeight="1">
      <c r="A47" s="47" t="inlineStr">
        <is>
          <t>F.2.3</t>
        </is>
      </c>
      <c r="B47" s="10" t="inlineStr">
        <is>
          <t>09 51 00</t>
        </is>
      </c>
      <c r="C47" s="48" t="inlineStr">
        <is>
          <t>Asma tavan alçıpan yüzeyi — derz bandı + saten alçı + astar + 2 kat mat boya</t>
        </is>
      </c>
      <c r="D47" s="49" t="inlineStr">
        <is>
          <t>101 · 104 · 105 · 108</t>
        </is>
      </c>
      <c r="E47" s="50" t="inlineStr">
        <is>
          <t>Knauf · Dyo · Filli Boya — eşdeğer</t>
        </is>
      </c>
      <c r="F47" s="51" t="inlineStr">
        <is>
          <t>m²</t>
        </is>
      </c>
      <c r="G47" s="52" t="n">
        <v>43.05</v>
      </c>
      <c r="H47" s="44" t="n"/>
      <c r="I47" s="53">
        <f>$G47*H47</f>
        <v/>
      </c>
      <c r="J47" s="44" t="n"/>
      <c r="K47" s="53">
        <f>$G47*J47</f>
        <v/>
      </c>
      <c r="L47" s="44" t="n"/>
      <c r="M47" s="53">
        <f>$G47*L47</f>
        <v/>
      </c>
      <c r="N47" s="44" t="n"/>
      <c r="O47" s="53">
        <f>$G47*N47</f>
        <v/>
      </c>
      <c r="P47" s="54">
        <f>H47+J47+L47+N47</f>
        <v/>
      </c>
      <c r="Q47" s="54">
        <f>$G47*P47</f>
        <v/>
      </c>
    </row>
    <row r="48" ht="18" customHeight="1">
      <c r="A48" s="28" t="inlineStr">
        <is>
          <t>G</t>
        </is>
      </c>
      <c r="B48" s="37" t="inlineStr">
        <is>
          <t>08 14 00   ·   DOĞRAMA, CAM VE AYNA İŞLERİ</t>
        </is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</row>
    <row r="49" ht="30" customHeight="1">
      <c r="A49" s="47" t="inlineStr">
        <is>
          <t>G.1.1</t>
        </is>
      </c>
      <c r="B49" s="10" t="inlineStr">
        <is>
          <t>08 14 00</t>
        </is>
      </c>
      <c r="C49" s="48" t="inlineStr">
        <is>
          <t>K01 — Çift kanat cam kapı (2×800); Mevcut alüminyum doğrama + 8 mm temperli cam (1600×2400 mm)</t>
        </is>
      </c>
      <c r="D49" s="49" t="inlineStr">
        <is>
          <t>101 Giriş</t>
        </is>
      </c>
      <c r="E49" s="50" t="inlineStr">
        <is>
          <t>Şişecam · Asaş — eşdeğer</t>
        </is>
      </c>
      <c r="F49" s="51" t="inlineStr">
        <is>
          <t>ad</t>
        </is>
      </c>
      <c r="G49" s="52" t="n">
        <v>1</v>
      </c>
      <c r="H49" s="44" t="n"/>
      <c r="I49" s="53">
        <f>$G49*H49</f>
        <v/>
      </c>
      <c r="J49" s="44" t="n"/>
      <c r="K49" s="53">
        <f>$G49*J49</f>
        <v/>
      </c>
      <c r="L49" s="44" t="n"/>
      <c r="M49" s="53">
        <f>$G49*L49</f>
        <v/>
      </c>
      <c r="N49" s="44" t="n"/>
      <c r="O49" s="53">
        <f>$G49*N49</f>
        <v/>
      </c>
      <c r="P49" s="54">
        <f>H49+J49+L49+N49</f>
        <v/>
      </c>
      <c r="Q49" s="54">
        <f>$G49*P49</f>
        <v/>
      </c>
    </row>
    <row r="50" ht="30" customHeight="1">
      <c r="A50" s="39" t="inlineStr">
        <is>
          <t>G.1.2</t>
        </is>
      </c>
      <c r="B50" s="40" t="inlineStr">
        <is>
          <t>08 14 00</t>
        </is>
      </c>
      <c r="C50" s="7" t="inlineStr">
        <is>
          <t>K02 — Tek kanat acil çıkış; Alüminyum + 8 mm temperli cam (1000×2100 mm)</t>
        </is>
      </c>
      <c r="D50" s="41" t="inlineStr">
        <is>
          <t>101 → GB cephe</t>
        </is>
      </c>
      <c r="E50" s="42" t="inlineStr">
        <is>
          <t>Şişecam · Asaş — eşdeğer</t>
        </is>
      </c>
      <c r="F50" s="9" t="inlineStr">
        <is>
          <t>ad</t>
        </is>
      </c>
      <c r="G50" s="43" t="n">
        <v>1</v>
      </c>
      <c r="H50" s="44" t="n"/>
      <c r="I50" s="45">
        <f>$G50*H50</f>
        <v/>
      </c>
      <c r="J50" s="44" t="n"/>
      <c r="K50" s="45">
        <f>$G50*J50</f>
        <v/>
      </c>
      <c r="L50" s="44" t="n"/>
      <c r="M50" s="45">
        <f>$G50*L50</f>
        <v/>
      </c>
      <c r="N50" s="44" t="n"/>
      <c r="O50" s="45">
        <f>$G50*N50</f>
        <v/>
      </c>
      <c r="P50" s="46">
        <f>H50+J50+L50+N50</f>
        <v/>
      </c>
      <c r="Q50" s="46">
        <f>$G50*P50</f>
        <v/>
      </c>
    </row>
    <row r="51" ht="30" customHeight="1">
      <c r="A51" s="47" t="inlineStr">
        <is>
          <t>G.1.3</t>
        </is>
      </c>
      <c r="B51" s="10" t="inlineStr">
        <is>
          <t>08 14 00</t>
        </is>
      </c>
      <c r="C51" s="48" t="inlineStr">
        <is>
          <t>K03 — Tek kanat panel kapı; MDF laminat kaplı kanat, WPC kasa ve pervaz (900×2100 mm)</t>
        </is>
      </c>
      <c r="D51" s="49" t="inlineStr">
        <is>
          <t>105 Erkek soyunma</t>
        </is>
      </c>
      <c r="E51" s="50" t="inlineStr">
        <is>
          <t>Şişecam · Asaş — eşdeğer</t>
        </is>
      </c>
      <c r="F51" s="51" t="inlineStr">
        <is>
          <t>ad</t>
        </is>
      </c>
      <c r="G51" s="52" t="n">
        <v>1</v>
      </c>
      <c r="H51" s="44" t="n"/>
      <c r="I51" s="53">
        <f>$G51*H51</f>
        <v/>
      </c>
      <c r="J51" s="44" t="n"/>
      <c r="K51" s="53">
        <f>$G51*J51</f>
        <v/>
      </c>
      <c r="L51" s="44" t="n"/>
      <c r="M51" s="53">
        <f>$G51*L51</f>
        <v/>
      </c>
      <c r="N51" s="44" t="n"/>
      <c r="O51" s="53">
        <f>$G51*N51</f>
        <v/>
      </c>
      <c r="P51" s="54">
        <f>H51+J51+L51+N51</f>
        <v/>
      </c>
      <c r="Q51" s="54">
        <f>$G51*P51</f>
        <v/>
      </c>
    </row>
    <row r="52" ht="30" customHeight="1">
      <c r="A52" s="39" t="inlineStr">
        <is>
          <t>G.1.4</t>
        </is>
      </c>
      <c r="B52" s="40" t="inlineStr">
        <is>
          <t>08 14 00</t>
        </is>
      </c>
      <c r="C52" s="7" t="inlineStr">
        <is>
          <t>K04 — Tek kanat panel kapı; MDF laminat kaplı kanat, WPC kasa ve pervaz (900×2100 mm)</t>
        </is>
      </c>
      <c r="D52" s="41" t="inlineStr">
        <is>
          <t>108 Kadın soyunma</t>
        </is>
      </c>
      <c r="E52" s="42" t="inlineStr">
        <is>
          <t>Şişecam · Asaş — eşdeğer</t>
        </is>
      </c>
      <c r="F52" s="9" t="inlineStr">
        <is>
          <t>ad</t>
        </is>
      </c>
      <c r="G52" s="43" t="n">
        <v>1</v>
      </c>
      <c r="H52" s="44" t="n"/>
      <c r="I52" s="45">
        <f>$G52*H52</f>
        <v/>
      </c>
      <c r="J52" s="44" t="n"/>
      <c r="K52" s="45">
        <f>$G52*J52</f>
        <v/>
      </c>
      <c r="L52" s="44" t="n"/>
      <c r="M52" s="45">
        <f>$G52*L52</f>
        <v/>
      </c>
      <c r="N52" s="44" t="n"/>
      <c r="O52" s="45">
        <f>$G52*N52</f>
        <v/>
      </c>
      <c r="P52" s="46">
        <f>H52+J52+L52+N52</f>
        <v/>
      </c>
      <c r="Q52" s="46">
        <f>$G52*P52</f>
        <v/>
      </c>
    </row>
    <row r="53" ht="30" customHeight="1">
      <c r="A53" s="47" t="inlineStr">
        <is>
          <t>G.1.5</t>
        </is>
      </c>
      <c r="B53" s="10" t="inlineStr">
        <is>
          <t>08 14 00</t>
        </is>
      </c>
      <c r="C53" s="48" t="inlineStr">
        <is>
          <t>K05 — Tek kanat WC kapısı; Tam WPC (su geçirmez) kanat ve kasa (700×2000 mm)</t>
        </is>
      </c>
      <c r="D53" s="49" t="inlineStr">
        <is>
          <t>107 Erkek WC</t>
        </is>
      </c>
      <c r="E53" s="50" t="inlineStr">
        <is>
          <t>Şişecam · Asaş — eşdeğer</t>
        </is>
      </c>
      <c r="F53" s="51" t="inlineStr">
        <is>
          <t>ad</t>
        </is>
      </c>
      <c r="G53" s="52" t="n">
        <v>1</v>
      </c>
      <c r="H53" s="44" t="n"/>
      <c r="I53" s="53">
        <f>$G53*H53</f>
        <v/>
      </c>
      <c r="J53" s="44" t="n"/>
      <c r="K53" s="53">
        <f>$G53*J53</f>
        <v/>
      </c>
      <c r="L53" s="44" t="n"/>
      <c r="M53" s="53">
        <f>$G53*L53</f>
        <v/>
      </c>
      <c r="N53" s="44" t="n"/>
      <c r="O53" s="53">
        <f>$G53*N53</f>
        <v/>
      </c>
      <c r="P53" s="54">
        <f>H53+J53+L53+N53</f>
        <v/>
      </c>
      <c r="Q53" s="54">
        <f>$G53*P53</f>
        <v/>
      </c>
    </row>
    <row r="54" ht="30" customHeight="1">
      <c r="A54" s="39" t="inlineStr">
        <is>
          <t>G.1.6</t>
        </is>
      </c>
      <c r="B54" s="40" t="inlineStr">
        <is>
          <t>08 14 00</t>
        </is>
      </c>
      <c r="C54" s="7" t="inlineStr">
        <is>
          <t>K06 — Tek kanat WC kapısı; Tam WPC (su geçirmez) kanat ve kasa (700×2000 mm)</t>
        </is>
      </c>
      <c r="D54" s="41" t="inlineStr">
        <is>
          <t>110 Kadın WC</t>
        </is>
      </c>
      <c r="E54" s="42" t="inlineStr">
        <is>
          <t>Şişecam · Asaş — eşdeğer</t>
        </is>
      </c>
      <c r="F54" s="9" t="inlineStr">
        <is>
          <t>ad</t>
        </is>
      </c>
      <c r="G54" s="43" t="n">
        <v>1</v>
      </c>
      <c r="H54" s="44" t="n"/>
      <c r="I54" s="45">
        <f>$G54*H54</f>
        <v/>
      </c>
      <c r="J54" s="44" t="n"/>
      <c r="K54" s="45">
        <f>$G54*J54</f>
        <v/>
      </c>
      <c r="L54" s="44" t="n"/>
      <c r="M54" s="45">
        <f>$G54*L54</f>
        <v/>
      </c>
      <c r="N54" s="44" t="n"/>
      <c r="O54" s="45">
        <f>$G54*N54</f>
        <v/>
      </c>
      <c r="P54" s="46">
        <f>H54+J54+L54+N54</f>
        <v/>
      </c>
      <c r="Q54" s="46">
        <f>$G54*P54</f>
        <v/>
      </c>
    </row>
    <row r="55" ht="30" customHeight="1">
      <c r="A55" s="47" t="inlineStr">
        <is>
          <t>G.1.7</t>
        </is>
      </c>
      <c r="B55" s="10" t="inlineStr">
        <is>
          <t>08 14 00</t>
        </is>
      </c>
      <c r="C55" s="48" t="inlineStr">
        <is>
          <t>K07 — Duş kapağı; 6 mm temperli cam, alüminyum profil (700×1950 mm)</t>
        </is>
      </c>
      <c r="D55" s="49" t="inlineStr">
        <is>
          <t>106 Erkek duş</t>
        </is>
      </c>
      <c r="E55" s="50" t="inlineStr">
        <is>
          <t>Şişecam · Asaş — eşdeğer</t>
        </is>
      </c>
      <c r="F55" s="51" t="inlineStr">
        <is>
          <t>ad</t>
        </is>
      </c>
      <c r="G55" s="52" t="n">
        <v>1</v>
      </c>
      <c r="H55" s="44" t="n"/>
      <c r="I55" s="53">
        <f>$G55*H55</f>
        <v/>
      </c>
      <c r="J55" s="44" t="n"/>
      <c r="K55" s="53">
        <f>$G55*J55</f>
        <v/>
      </c>
      <c r="L55" s="44" t="n"/>
      <c r="M55" s="53">
        <f>$G55*L55</f>
        <v/>
      </c>
      <c r="N55" s="44" t="n"/>
      <c r="O55" s="53">
        <f>$G55*N55</f>
        <v/>
      </c>
      <c r="P55" s="54">
        <f>H55+J55+L55+N55</f>
        <v/>
      </c>
      <c r="Q55" s="54">
        <f>$G55*P55</f>
        <v/>
      </c>
    </row>
    <row r="56" ht="30" customHeight="1">
      <c r="A56" s="39" t="inlineStr">
        <is>
          <t>G.1.8</t>
        </is>
      </c>
      <c r="B56" s="40" t="inlineStr">
        <is>
          <t>08 14 00</t>
        </is>
      </c>
      <c r="C56" s="7" t="inlineStr">
        <is>
          <t>K08 — Duş kapağı; 6 mm temperli cam, alüminyum profil (700×1950 mm)</t>
        </is>
      </c>
      <c r="D56" s="41" t="inlineStr">
        <is>
          <t>109 Kadın duş</t>
        </is>
      </c>
      <c r="E56" s="42" t="inlineStr">
        <is>
          <t>Şişecam · Asaş — eşdeğer</t>
        </is>
      </c>
      <c r="F56" s="9" t="inlineStr">
        <is>
          <t>ad</t>
        </is>
      </c>
      <c r="G56" s="43" t="n">
        <v>1</v>
      </c>
      <c r="H56" s="44" t="n"/>
      <c r="I56" s="45">
        <f>$G56*H56</f>
        <v/>
      </c>
      <c r="J56" s="44" t="n"/>
      <c r="K56" s="45">
        <f>$G56*J56</f>
        <v/>
      </c>
      <c r="L56" s="44" t="n"/>
      <c r="M56" s="45">
        <f>$G56*L56</f>
        <v/>
      </c>
      <c r="N56" s="44" t="n"/>
      <c r="O56" s="45">
        <f>$G56*N56</f>
        <v/>
      </c>
      <c r="P56" s="46">
        <f>H56+J56+L56+N56</f>
        <v/>
      </c>
      <c r="Q56" s="46">
        <f>$G56*P56</f>
        <v/>
      </c>
    </row>
    <row r="57" ht="30" customHeight="1">
      <c r="A57" s="47" t="inlineStr">
        <is>
          <t>G.1.9</t>
        </is>
      </c>
      <c r="B57" s="10" t="inlineStr">
        <is>
          <t>08 14 00</t>
        </is>
      </c>
      <c r="C57" s="48" t="inlineStr">
        <is>
          <t>K09 — Tek kanat dolap kapağı; MDF laminat, banko arkası niş (700×2000 mm)</t>
        </is>
      </c>
      <c r="D57" s="49" t="inlineStr">
        <is>
          <t>101 Depo / teknik dolap</t>
        </is>
      </c>
      <c r="E57" s="50" t="inlineStr">
        <is>
          <t>Şişecam · Asaş — eşdeğer</t>
        </is>
      </c>
      <c r="F57" s="51" t="inlineStr">
        <is>
          <t>ad</t>
        </is>
      </c>
      <c r="G57" s="52" t="n">
        <v>1</v>
      </c>
      <c r="H57" s="44" t="n"/>
      <c r="I57" s="53">
        <f>$G57*H57</f>
        <v/>
      </c>
      <c r="J57" s="44" t="n"/>
      <c r="K57" s="53">
        <f>$G57*J57</f>
        <v/>
      </c>
      <c r="L57" s="44" t="n"/>
      <c r="M57" s="53">
        <f>$G57*L57</f>
        <v/>
      </c>
      <c r="N57" s="44" t="n"/>
      <c r="O57" s="53">
        <f>$G57*N57</f>
        <v/>
      </c>
      <c r="P57" s="54">
        <f>H57+J57+L57+N57</f>
        <v/>
      </c>
      <c r="Q57" s="54">
        <f>$G57*P57</f>
        <v/>
      </c>
    </row>
    <row r="58" ht="30" customHeight="1">
      <c r="A58" s="39" t="inlineStr">
        <is>
          <t>G.2.1</t>
        </is>
      </c>
      <c r="B58" s="40" t="inlineStr">
        <is>
          <t>08 14 00</t>
        </is>
      </c>
      <c r="C58" s="7" t="inlineStr">
        <is>
          <t>D6 ayna duvarı — 18 mm su kontraplağı altlık + 6 mm güvenlik filmli ayna, alt/üst alüminyum mekanik emniyet profilli</t>
        </is>
      </c>
      <c r="D58" s="41" t="inlineStr">
        <is>
          <t>102</t>
        </is>
      </c>
      <c r="E58" s="42" t="inlineStr">
        <is>
          <t>Şişecam · Asaş — eşdeğer</t>
        </is>
      </c>
      <c r="F58" s="9" t="inlineStr">
        <is>
          <t>m²</t>
        </is>
      </c>
      <c r="G58" s="43" t="n">
        <v>9.6</v>
      </c>
      <c r="H58" s="44" t="n"/>
      <c r="I58" s="45">
        <f>$G58*H58</f>
        <v/>
      </c>
      <c r="J58" s="44" t="n"/>
      <c r="K58" s="45">
        <f>$G58*J58</f>
        <v/>
      </c>
      <c r="L58" s="44" t="n"/>
      <c r="M58" s="45">
        <f>$G58*L58</f>
        <v/>
      </c>
      <c r="N58" s="44" t="n"/>
      <c r="O58" s="45">
        <f>$G58*N58</f>
        <v/>
      </c>
      <c r="P58" s="46">
        <f>H58+J58+L58+N58</f>
        <v/>
      </c>
      <c r="Q58" s="46">
        <f>$G58*P58</f>
        <v/>
      </c>
    </row>
    <row r="59" ht="30" customHeight="1">
      <c r="A59" s="47" t="inlineStr">
        <is>
          <t>G.2.2</t>
        </is>
      </c>
      <c r="B59" s="10" t="inlineStr">
        <is>
          <t>08 14 00</t>
        </is>
      </c>
      <c r="C59" s="48" t="inlineStr">
        <is>
          <t>Boy aynası 60×110 cm, güvenlik filmli</t>
        </is>
      </c>
      <c r="D59" s="49" t="inlineStr">
        <is>
          <t>105 · 108</t>
        </is>
      </c>
      <c r="E59" s="50" t="inlineStr">
        <is>
          <t>Şişecam · Asaş — eşdeğer</t>
        </is>
      </c>
      <c r="F59" s="51" t="inlineStr">
        <is>
          <t>ad</t>
        </is>
      </c>
      <c r="G59" s="52" t="n">
        <v>2</v>
      </c>
      <c r="H59" s="44" t="n"/>
      <c r="I59" s="53">
        <f>$G59*H59</f>
        <v/>
      </c>
      <c r="J59" s="44" t="n"/>
      <c r="K59" s="53">
        <f>$G59*J59</f>
        <v/>
      </c>
      <c r="L59" s="44" t="n"/>
      <c r="M59" s="53">
        <f>$G59*L59</f>
        <v/>
      </c>
      <c r="N59" s="44" t="n"/>
      <c r="O59" s="53">
        <f>$G59*N59</f>
        <v/>
      </c>
      <c r="P59" s="54">
        <f>H59+J59+L59+N59</f>
        <v/>
      </c>
      <c r="Q59" s="54">
        <f>$G59*P59</f>
        <v/>
      </c>
    </row>
    <row r="60" ht="30" customHeight="1">
      <c r="A60" s="39" t="inlineStr">
        <is>
          <t>G.2.3</t>
        </is>
      </c>
      <c r="B60" s="40" t="inlineStr">
        <is>
          <t>08 14 00</t>
        </is>
      </c>
      <c r="C60" s="7" t="inlineStr">
        <is>
          <t>Cephe vitrininde buzlu folyo (alt 1,20 m) + güneş kontrol filmi</t>
        </is>
      </c>
      <c r="D60" s="41" t="inlineStr">
        <is>
          <t>101</t>
        </is>
      </c>
      <c r="E60" s="42" t="inlineStr">
        <is>
          <t>Şişecam · Asaş — eşdeğer</t>
        </is>
      </c>
      <c r="F60" s="9" t="inlineStr">
        <is>
          <t>m²</t>
        </is>
      </c>
      <c r="G60" s="43" t="n">
        <v>18.34</v>
      </c>
      <c r="H60" s="44" t="n"/>
      <c r="I60" s="45">
        <f>$G60*H60</f>
        <v/>
      </c>
      <c r="J60" s="44" t="n"/>
      <c r="K60" s="45">
        <f>$G60*J60</f>
        <v/>
      </c>
      <c r="L60" s="44" t="n"/>
      <c r="M60" s="45">
        <f>$G60*L60</f>
        <v/>
      </c>
      <c r="N60" s="44" t="n"/>
      <c r="O60" s="45">
        <f>$G60*N60</f>
        <v/>
      </c>
      <c r="P60" s="46">
        <f>H60+J60+L60+N60</f>
        <v/>
      </c>
      <c r="Q60" s="46">
        <f>$G60*P60</f>
        <v/>
      </c>
    </row>
    <row r="61" ht="18" customHeight="1">
      <c r="A61" s="28" t="inlineStr">
        <is>
          <t>H</t>
        </is>
      </c>
      <c r="B61" s="37" t="inlineStr">
        <is>
          <t>12 35 00   ·   SABİT MOBİLYA İŞLERİ</t>
        </is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</row>
    <row r="62" ht="30" customHeight="1">
      <c r="A62" s="39" t="inlineStr">
        <is>
          <t>H.1.1</t>
        </is>
      </c>
      <c r="B62" s="40" t="inlineStr">
        <is>
          <t>12 35 00</t>
        </is>
      </c>
      <c r="C62" s="7" t="inlineStr">
        <is>
          <t>Resepsiyon bankosu 120×60×110 cm — lake MDF gövde + kompakt lamine tezgâh, gömme kuvvet ve veri kutulu</t>
        </is>
      </c>
      <c r="D62" s="41" t="inlineStr">
        <is>
          <t>101</t>
        </is>
      </c>
      <c r="E62" s="42" t="inlineStr">
        <is>
          <t>Yerli imalat — numune onaylı</t>
        </is>
      </c>
      <c r="F62" s="9" t="inlineStr">
        <is>
          <t>ad</t>
        </is>
      </c>
      <c r="G62" s="43" t="n">
        <v>1</v>
      </c>
      <c r="H62" s="44" t="n"/>
      <c r="I62" s="45">
        <f>$G62*H62</f>
        <v/>
      </c>
      <c r="J62" s="44" t="n"/>
      <c r="K62" s="45">
        <f>$G62*J62</f>
        <v/>
      </c>
      <c r="L62" s="44" t="n"/>
      <c r="M62" s="45">
        <f>$G62*L62</f>
        <v/>
      </c>
      <c r="N62" s="44" t="n"/>
      <c r="O62" s="45">
        <f>$G62*N62</f>
        <v/>
      </c>
      <c r="P62" s="46">
        <f>H62+J62+L62+N62</f>
        <v/>
      </c>
      <c r="Q62" s="46">
        <f>$G62*P62</f>
        <v/>
      </c>
    </row>
    <row r="63" ht="30" customHeight="1">
      <c r="A63" s="47" t="inlineStr">
        <is>
          <t>H.1.2</t>
        </is>
      </c>
      <c r="B63" s="10" t="inlineStr">
        <is>
          <t>12 35 00</t>
        </is>
      </c>
      <c r="C63" s="48" t="inlineStr">
        <is>
          <t>8 gözlü soyunma dolabı 160×45×180 cm — laminat, havalandırma delikli, kilitli</t>
        </is>
      </c>
      <c r="D63" s="49" t="inlineStr">
        <is>
          <t>105 · 108</t>
        </is>
      </c>
      <c r="E63" s="50" t="inlineStr">
        <is>
          <t>Yerli imalat — numune onaylı</t>
        </is>
      </c>
      <c r="F63" s="51" t="inlineStr">
        <is>
          <t>ad</t>
        </is>
      </c>
      <c r="G63" s="52" t="n">
        <v>2</v>
      </c>
      <c r="H63" s="44" t="n"/>
      <c r="I63" s="53">
        <f>$G63*H63</f>
        <v/>
      </c>
      <c r="J63" s="44" t="n"/>
      <c r="K63" s="53">
        <f>$G63*J63</f>
        <v/>
      </c>
      <c r="L63" s="44" t="n"/>
      <c r="M63" s="53">
        <f>$G63*L63</f>
        <v/>
      </c>
      <c r="N63" s="44" t="n"/>
      <c r="O63" s="53">
        <f>$G63*N63</f>
        <v/>
      </c>
      <c r="P63" s="54">
        <f>H63+J63+L63+N63</f>
        <v/>
      </c>
      <c r="Q63" s="54">
        <f>$G63*P63</f>
        <v/>
      </c>
    </row>
    <row r="64" ht="30" customHeight="1">
      <c r="A64" s="39" t="inlineStr">
        <is>
          <t>H.1.3</t>
        </is>
      </c>
      <c r="B64" s="40" t="inlineStr">
        <is>
          <t>12 35 00</t>
        </is>
      </c>
      <c r="C64" s="7" t="inlineStr">
        <is>
          <t>Soyunma bankı 160×35 cm — ahşap latalı, duvara konsol bağlantılı</t>
        </is>
      </c>
      <c r="D64" s="41" t="inlineStr">
        <is>
          <t>105 · 108</t>
        </is>
      </c>
      <c r="E64" s="42" t="inlineStr">
        <is>
          <t>Yerli imalat — numune onaylı</t>
        </is>
      </c>
      <c r="F64" s="9" t="inlineStr">
        <is>
          <t>ad</t>
        </is>
      </c>
      <c r="G64" s="43" t="n">
        <v>2</v>
      </c>
      <c r="H64" s="44" t="n"/>
      <c r="I64" s="45">
        <f>$G64*H64</f>
        <v/>
      </c>
      <c r="J64" s="44" t="n"/>
      <c r="K64" s="45">
        <f>$G64*J64</f>
        <v/>
      </c>
      <c r="L64" s="44" t="n"/>
      <c r="M64" s="45">
        <f>$G64*L64</f>
        <v/>
      </c>
      <c r="N64" s="44" t="n"/>
      <c r="O64" s="45">
        <f>$G64*N64</f>
        <v/>
      </c>
      <c r="P64" s="46">
        <f>H64+J64+L64+N64</f>
        <v/>
      </c>
      <c r="Q64" s="46">
        <f>$G64*P64</f>
        <v/>
      </c>
    </row>
    <row r="65" ht="30" customHeight="1">
      <c r="A65" s="47" t="inlineStr">
        <is>
          <t>H.1.4</t>
        </is>
      </c>
      <c r="B65" s="10" t="inlineStr">
        <is>
          <t>12 35 00</t>
        </is>
      </c>
      <c r="C65" s="48" t="inlineStr">
        <is>
          <t>Paslanmaz askılık, 5 kancalı</t>
        </is>
      </c>
      <c r="D65" s="49" t="inlineStr">
        <is>
          <t>105 · 108</t>
        </is>
      </c>
      <c r="E65" s="50" t="inlineStr">
        <is>
          <t>Yerli imalat — numune onaylı</t>
        </is>
      </c>
      <c r="F65" s="51" t="inlineStr">
        <is>
          <t>ad</t>
        </is>
      </c>
      <c r="G65" s="52" t="n">
        <v>2</v>
      </c>
      <c r="H65" s="44" t="n"/>
      <c r="I65" s="53">
        <f>$G65*H65</f>
        <v/>
      </c>
      <c r="J65" s="44" t="n"/>
      <c r="K65" s="53">
        <f>$G65*J65</f>
        <v/>
      </c>
      <c r="L65" s="44" t="n"/>
      <c r="M65" s="53">
        <f>$G65*L65</f>
        <v/>
      </c>
      <c r="N65" s="44" t="n"/>
      <c r="O65" s="53">
        <f>$G65*N65</f>
        <v/>
      </c>
      <c r="P65" s="54">
        <f>H65+J65+L65+N65</f>
        <v/>
      </c>
      <c r="Q65" s="54">
        <f>$G65*P65</f>
        <v/>
      </c>
    </row>
    <row r="66" ht="30" customHeight="1">
      <c r="A66" s="39" t="inlineStr">
        <is>
          <t>H.1.5</t>
        </is>
      </c>
      <c r="B66" s="40" t="inlineStr">
        <is>
          <t>12 35 00</t>
        </is>
      </c>
      <c r="C66" s="7" t="inlineStr">
        <is>
          <t>Depo / teknik dolap — banko arkası niş, havalandırma menfezli</t>
        </is>
      </c>
      <c r="D66" s="41" t="inlineStr">
        <is>
          <t>101</t>
        </is>
      </c>
      <c r="E66" s="42" t="inlineStr">
        <is>
          <t>Yerli imalat — numune onaylı</t>
        </is>
      </c>
      <c r="F66" s="9" t="inlineStr">
        <is>
          <t>ad</t>
        </is>
      </c>
      <c r="G66" s="43" t="n">
        <v>1</v>
      </c>
      <c r="H66" s="44" t="n"/>
      <c r="I66" s="45">
        <f>$G66*H66</f>
        <v/>
      </c>
      <c r="J66" s="44" t="n"/>
      <c r="K66" s="45">
        <f>$G66*J66</f>
        <v/>
      </c>
      <c r="L66" s="44" t="n"/>
      <c r="M66" s="45">
        <f>$G66*L66</f>
        <v/>
      </c>
      <c r="N66" s="44" t="n"/>
      <c r="O66" s="45">
        <f>$G66*N66</f>
        <v/>
      </c>
      <c r="P66" s="46">
        <f>H66+J66+L66+N66</f>
        <v/>
      </c>
      <c r="Q66" s="46">
        <f>$G66*P66</f>
        <v/>
      </c>
    </row>
    <row r="67" ht="18" customHeight="1">
      <c r="A67" s="28" t="inlineStr">
        <is>
          <t>I</t>
        </is>
      </c>
      <c r="B67" s="37" t="inlineStr">
        <is>
          <t>10 44 00   ·   YANGIN GÜVENLİK VE İŞARETLEME</t>
        </is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</row>
    <row r="68" ht="30" customHeight="1">
      <c r="A68" s="39" t="inlineStr">
        <is>
          <t>I.1.1</t>
        </is>
      </c>
      <c r="B68" s="40" t="inlineStr">
        <is>
          <t>10 44 00</t>
        </is>
      </c>
      <c r="C68" s="7" t="inlineStr">
        <is>
          <t>6 kg ABC kuru kimyevi tozlu yangın söndürücü — askı aparatı ve levhası ile</t>
        </is>
      </c>
      <c r="D68" s="41" t="inlineStr">
        <is>
          <t>101 · 102 · 104</t>
        </is>
      </c>
      <c r="E68" s="42" t="inlineStr">
        <is>
          <t>TSE belgeli</t>
        </is>
      </c>
      <c r="F68" s="9" t="inlineStr">
        <is>
          <t>ad</t>
        </is>
      </c>
      <c r="G68" s="43" t="n">
        <v>3</v>
      </c>
      <c r="H68" s="44" t="n"/>
      <c r="I68" s="45">
        <f>$G68*H68</f>
        <v/>
      </c>
      <c r="J68" s="44" t="n"/>
      <c r="K68" s="45">
        <f>$G68*J68</f>
        <v/>
      </c>
      <c r="L68" s="44" t="n"/>
      <c r="M68" s="45">
        <f>$G68*L68</f>
        <v/>
      </c>
      <c r="N68" s="44" t="n"/>
      <c r="O68" s="45">
        <f>$G68*N68</f>
        <v/>
      </c>
      <c r="P68" s="46">
        <f>H68+J68+L68+N68</f>
        <v/>
      </c>
      <c r="Q68" s="46">
        <f>$G68*P68</f>
        <v/>
      </c>
    </row>
    <row r="69" ht="30" customHeight="1">
      <c r="A69" s="47" t="inlineStr">
        <is>
          <t>I.1.2</t>
        </is>
      </c>
      <c r="B69" s="10" t="inlineStr">
        <is>
          <t>10 44 00</t>
        </is>
      </c>
      <c r="C69" s="48" t="inlineStr">
        <is>
          <t>Yangın dolabı — 30 m hortum, TS EN 671-2 (GSİM talebine bağlı opsiyon)</t>
        </is>
      </c>
      <c r="D69" s="49" t="inlineStr">
        <is>
          <t>101</t>
        </is>
      </c>
      <c r="E69" s="50" t="inlineStr">
        <is>
          <t>TSE belgeli</t>
        </is>
      </c>
      <c r="F69" s="51" t="inlineStr">
        <is>
          <t>ad</t>
        </is>
      </c>
      <c r="G69" s="52" t="n">
        <v>1</v>
      </c>
      <c r="H69" s="44" t="n"/>
      <c r="I69" s="53">
        <f>$G69*H69</f>
        <v/>
      </c>
      <c r="J69" s="44" t="n"/>
      <c r="K69" s="53">
        <f>$G69*J69</f>
        <v/>
      </c>
      <c r="L69" s="44" t="n"/>
      <c r="M69" s="53">
        <f>$G69*L69</f>
        <v/>
      </c>
      <c r="N69" s="44" t="n"/>
      <c r="O69" s="53">
        <f>$G69*N69</f>
        <v/>
      </c>
      <c r="P69" s="54">
        <f>H69+J69+L69+N69</f>
        <v/>
      </c>
      <c r="Q69" s="54">
        <f>$G69*P69</f>
        <v/>
      </c>
    </row>
    <row r="70" ht="30" customHeight="1">
      <c r="A70" s="39" t="inlineStr">
        <is>
          <t>I.1.3</t>
        </is>
      </c>
      <c r="B70" s="40" t="inlineStr">
        <is>
          <t>10 44 00</t>
        </is>
      </c>
      <c r="C70" s="7" t="inlineStr">
        <is>
          <t>Fotolüminesan yönlendirme ve yasak levhaları</t>
        </is>
      </c>
      <c r="D70" s="41" t="inlineStr">
        <is>
          <t>Tüm mahaller</t>
        </is>
      </c>
      <c r="E70" s="42" t="inlineStr">
        <is>
          <t>TSE belgeli</t>
        </is>
      </c>
      <c r="F70" s="9" t="inlineStr">
        <is>
          <t>ad</t>
        </is>
      </c>
      <c r="G70" s="43" t="n">
        <v>7</v>
      </c>
      <c r="H70" s="44" t="n"/>
      <c r="I70" s="45">
        <f>$G70*H70</f>
        <v/>
      </c>
      <c r="J70" s="44" t="n"/>
      <c r="K70" s="45">
        <f>$G70*J70</f>
        <v/>
      </c>
      <c r="L70" s="44" t="n"/>
      <c r="M70" s="45">
        <f>$G70*L70</f>
        <v/>
      </c>
      <c r="N70" s="44" t="n"/>
      <c r="O70" s="45">
        <f>$G70*N70</f>
        <v/>
      </c>
      <c r="P70" s="46">
        <f>H70+J70+L70+N70</f>
        <v/>
      </c>
      <c r="Q70" s="46">
        <f>$G70*P70</f>
        <v/>
      </c>
    </row>
    <row r="71" ht="18" customHeight="1">
      <c r="A71" s="28" t="inlineStr">
        <is>
          <t>J</t>
        </is>
      </c>
      <c r="B71" s="37" t="inlineStr">
        <is>
          <t>01 50 00   ·   ŞANTİYE GENEL GİDERLERİ</t>
        </is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</row>
    <row r="72" ht="30" customHeight="1">
      <c r="A72" s="39" t="inlineStr">
        <is>
          <t>J.1.1</t>
        </is>
      </c>
      <c r="B72" s="40" t="inlineStr">
        <is>
          <t>01 50 00</t>
        </is>
      </c>
      <c r="C72" s="7" t="inlineStr">
        <is>
          <t>İnce ve kaba temizlik, teslim öncesi detay temizliği</t>
        </is>
      </c>
      <c r="D72" s="41" t="inlineStr">
        <is>
          <t>Tüm mahaller</t>
        </is>
      </c>
      <c r="E72" s="42" t="inlineStr">
        <is>
          <t>—</t>
        </is>
      </c>
      <c r="F72" s="9" t="inlineStr">
        <is>
          <t>m²</t>
        </is>
      </c>
      <c r="G72" s="43" t="n">
        <v>103.78</v>
      </c>
      <c r="H72" s="44" t="n"/>
      <c r="I72" s="45">
        <f>$G72*H72</f>
        <v/>
      </c>
      <c r="J72" s="44" t="n"/>
      <c r="K72" s="45">
        <f>$G72*J72</f>
        <v/>
      </c>
      <c r="L72" s="44" t="n"/>
      <c r="M72" s="45">
        <f>$G72*L72</f>
        <v/>
      </c>
      <c r="N72" s="44" t="n"/>
      <c r="O72" s="45">
        <f>$G72*N72</f>
        <v/>
      </c>
      <c r="P72" s="46">
        <f>H72+J72+L72+N72</f>
        <v/>
      </c>
      <c r="Q72" s="46">
        <f>$G72*P72</f>
        <v/>
      </c>
    </row>
    <row r="73" ht="30" customHeight="1">
      <c r="A73" s="47" t="inlineStr">
        <is>
          <t>J.1.2</t>
        </is>
      </c>
      <c r="B73" s="10" t="inlineStr">
        <is>
          <t>01 50 00</t>
        </is>
      </c>
      <c r="C73" s="48" t="inlineStr">
        <is>
          <t>Şantiye kurulumu, koruma örtüleri, hoarding ve güvenlik</t>
        </is>
      </c>
      <c r="D73" s="49" t="inlineStr">
        <is>
          <t>Tüm mahaller</t>
        </is>
      </c>
      <c r="E73" s="50" t="inlineStr">
        <is>
          <t>—</t>
        </is>
      </c>
      <c r="F73" s="51" t="inlineStr">
        <is>
          <t>tk</t>
        </is>
      </c>
      <c r="G73" s="52" t="n">
        <v>1</v>
      </c>
      <c r="H73" s="44" t="n"/>
      <c r="I73" s="53">
        <f>$G73*H73</f>
        <v/>
      </c>
      <c r="J73" s="44" t="n"/>
      <c r="K73" s="53">
        <f>$G73*J73</f>
        <v/>
      </c>
      <c r="L73" s="44" t="n"/>
      <c r="M73" s="53">
        <f>$G73*L73</f>
        <v/>
      </c>
      <c r="N73" s="44" t="n"/>
      <c r="O73" s="53">
        <f>$G73*N73</f>
        <v/>
      </c>
      <c r="P73" s="54">
        <f>H73+J73+L73+N73</f>
        <v/>
      </c>
      <c r="Q73" s="54">
        <f>$G73*P73</f>
        <v/>
      </c>
    </row>
    <row r="74" ht="30" customHeight="1">
      <c r="A74" s="39" t="inlineStr">
        <is>
          <t>J.1.3</t>
        </is>
      </c>
      <c r="B74" s="40" t="inlineStr">
        <is>
          <t>01 50 00</t>
        </is>
      </c>
      <c r="C74" s="7" t="inlineStr">
        <is>
          <t>Nakliyeler (malzeme sevkiyatı, vinç/asansör kullanımı)</t>
        </is>
      </c>
      <c r="D74" s="41" t="inlineStr">
        <is>
          <t>Tüm mahaller</t>
        </is>
      </c>
      <c r="E74" s="42" t="inlineStr">
        <is>
          <t>—</t>
        </is>
      </c>
      <c r="F74" s="9" t="inlineStr">
        <is>
          <t>tk</t>
        </is>
      </c>
      <c r="G74" s="43" t="n">
        <v>1</v>
      </c>
      <c r="H74" s="44" t="n"/>
      <c r="I74" s="45">
        <f>$G74*H74</f>
        <v/>
      </c>
      <c r="J74" s="44" t="n"/>
      <c r="K74" s="45">
        <f>$G74*J74</f>
        <v/>
      </c>
      <c r="L74" s="44" t="n"/>
      <c r="M74" s="45">
        <f>$G74*L74</f>
        <v/>
      </c>
      <c r="N74" s="44" t="n"/>
      <c r="O74" s="45">
        <f>$G74*N74</f>
        <v/>
      </c>
      <c r="P74" s="46">
        <f>H74+J74+L74+N74</f>
        <v/>
      </c>
      <c r="Q74" s="46">
        <f>$G74*P74</f>
        <v/>
      </c>
    </row>
    <row r="75" ht="30" customHeight="1">
      <c r="A75" s="47" t="inlineStr">
        <is>
          <t>J.1.4</t>
        </is>
      </c>
      <c r="B75" s="10" t="inlineStr">
        <is>
          <t>01 50 00</t>
        </is>
      </c>
      <c r="C75" s="48" t="inlineStr">
        <is>
          <t>Usta ve düz işçi çalışmaları (poz dışı ilave işler)</t>
        </is>
      </c>
      <c r="D75" s="49" t="inlineStr">
        <is>
          <t>Tüm mahaller</t>
        </is>
      </c>
      <c r="E75" s="50" t="inlineStr">
        <is>
          <t>—</t>
        </is>
      </c>
      <c r="F75" s="51" t="inlineStr">
        <is>
          <t>yev</t>
        </is>
      </c>
      <c r="G75" s="52" t="n">
        <v>35</v>
      </c>
      <c r="H75" s="44" t="n"/>
      <c r="I75" s="53">
        <f>$G75*H75</f>
        <v/>
      </c>
      <c r="J75" s="44" t="n"/>
      <c r="K75" s="53">
        <f>$G75*J75</f>
        <v/>
      </c>
      <c r="L75" s="44" t="n"/>
      <c r="M75" s="53">
        <f>$G75*L75</f>
        <v/>
      </c>
      <c r="N75" s="44" t="n"/>
      <c r="O75" s="53">
        <f>$G75*N75</f>
        <v/>
      </c>
      <c r="P75" s="54">
        <f>H75+J75+L75+N75</f>
        <v/>
      </c>
      <c r="Q75" s="54">
        <f>$G75*P75</f>
        <v/>
      </c>
    </row>
    <row r="76">
      <c r="A76" s="28" t="inlineStr"/>
      <c r="B76" s="29" t="inlineStr">
        <is>
          <t>MİMARİ İMALATLAR TOPLAMI (KDV hariç)</t>
        </is>
      </c>
      <c r="G76" s="28" t="inlineStr"/>
      <c r="H76" s="28" t="inlineStr"/>
      <c r="I76" s="30">
        <f>SUM(I5:I75)</f>
        <v/>
      </c>
      <c r="J76" s="28" t="inlineStr"/>
      <c r="K76" s="30">
        <f>SUM(K5:K75)</f>
        <v/>
      </c>
      <c r="L76" s="28" t="inlineStr"/>
      <c r="M76" s="30">
        <f>SUM(M5:M75)</f>
        <v/>
      </c>
      <c r="N76" s="28" t="inlineStr"/>
      <c r="O76" s="30">
        <f>SUM(O5:O75)</f>
        <v/>
      </c>
      <c r="P76" s="28" t="inlineStr"/>
      <c r="Q76" s="30">
        <f>SUM(Q5:Q75)</f>
        <v/>
      </c>
    </row>
  </sheetData>
  <mergeCells count="13">
    <mergeCell ref="B67:Q67"/>
    <mergeCell ref="B22:Q22"/>
    <mergeCell ref="B32:Q32"/>
    <mergeCell ref="B61:Q61"/>
    <mergeCell ref="B71:Q71"/>
    <mergeCell ref="A2:Q2"/>
    <mergeCell ref="B76:F76"/>
    <mergeCell ref="B12:Q12"/>
    <mergeCell ref="B48:Q48"/>
    <mergeCell ref="B38:Q38"/>
    <mergeCell ref="B16:Q16"/>
    <mergeCell ref="A1:Q1"/>
    <mergeCell ref="B5:Q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7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  <col width="15" customWidth="1" min="11" max="11"/>
  </cols>
  <sheetData>
    <row r="1" ht="24" customHeight="1">
      <c r="A1" s="1" t="inlineStr">
        <is>
          <t>İŞVEREN BÜTÇE TAHMİNİ — REFERANS BİRİM FİYATLARLA</t>
        </is>
      </c>
    </row>
    <row r="2" ht="15" customHeight="1">
      <c r="A2" s="11" t="inlineStr">
        <is>
          <t>Kaynak: Mayıs 2025 (Vogelkopp kesin hakedişi) · Eylül 2026'ya eskale  ·  eskalasyon ×1.4  ·  KDV hariç TL</t>
        </is>
      </c>
    </row>
    <row r="4" ht="34" customHeight="1">
      <c r="A4" s="12" t="inlineStr">
        <is>
          <t>POZ NO</t>
        </is>
      </c>
      <c r="B4" s="12" t="inlineStr">
        <is>
          <t>YAPILACAK İŞİN CİNSİ</t>
        </is>
      </c>
      <c r="C4" s="12" t="inlineStr">
        <is>
          <t>BİRİM</t>
        </is>
      </c>
      <c r="D4" s="12" t="inlineStr">
        <is>
          <t>MİKTAR</t>
        </is>
      </c>
      <c r="E4" s="12" t="inlineStr">
        <is>
          <t>MALZEME
DÜŞÜK</t>
        </is>
      </c>
      <c r="F4" s="12" t="inlineStr">
        <is>
          <t>MALZEME
YÜKSEK</t>
        </is>
      </c>
      <c r="G4" s="12" t="inlineStr">
        <is>
          <t>İŞÇİLİK
DÜŞÜK</t>
        </is>
      </c>
      <c r="H4" s="12" t="inlineStr">
        <is>
          <t>İŞÇİLİK
YÜKSEK</t>
        </is>
      </c>
      <c r="I4" s="12" t="inlineStr">
        <is>
          <t>TOPLAM BF
DÜŞÜK</t>
        </is>
      </c>
      <c r="J4" s="12" t="inlineStr">
        <is>
          <t>TUTAR
DÜŞÜK</t>
        </is>
      </c>
      <c r="K4" s="12" t="inlineStr">
        <is>
          <t>TUTAR
YÜKSEK</t>
        </is>
      </c>
    </row>
    <row r="5" ht="18" customHeight="1">
      <c r="A5" s="28" t="inlineStr">
        <is>
          <t>A</t>
        </is>
      </c>
      <c r="B5" s="37" t="inlineStr">
        <is>
          <t>YIKIM · SÖKÜM VE MOLOZ ATMA İŞLERİ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</row>
    <row r="6" ht="28" customHeight="1">
      <c r="A6" s="39" t="inlineStr">
        <is>
          <t>A.1.1</t>
        </is>
      </c>
      <c r="B6" s="7" t="inlineStr">
        <is>
          <t>Mevcut zemin kaplaması sökümü ve altlık temizliği</t>
        </is>
      </c>
      <c r="C6" s="9" t="inlineStr">
        <is>
          <t>m²</t>
        </is>
      </c>
      <c r="D6" s="55" t="n">
        <v>103.78</v>
      </c>
      <c r="E6" s="56" t="n">
        <v>0</v>
      </c>
      <c r="F6" s="56" t="n">
        <v>0</v>
      </c>
      <c r="G6" s="56" t="n">
        <v>240</v>
      </c>
      <c r="H6" s="56" t="n">
        <v>380</v>
      </c>
      <c r="I6" s="57">
        <f>E6+G6</f>
        <v/>
      </c>
      <c r="J6" s="58">
        <f>D6*(E6+G6)</f>
        <v/>
      </c>
      <c r="K6" s="58">
        <f>D6*(F6+H6)</f>
        <v/>
      </c>
    </row>
    <row r="7" ht="28" customHeight="1">
      <c r="A7" s="47" t="inlineStr">
        <is>
          <t>A.1.2</t>
        </is>
      </c>
      <c r="B7" s="48" t="inlineStr">
        <is>
          <t>Mevcut asma tavan ve aydınlatma armatürü sökümü</t>
        </is>
      </c>
      <c r="C7" s="51" t="inlineStr">
        <is>
          <t>m²</t>
        </is>
      </c>
      <c r="D7" s="59" t="n">
        <v>103.78</v>
      </c>
      <c r="E7" s="60" t="n">
        <v>0</v>
      </c>
      <c r="F7" s="60" t="n">
        <v>0</v>
      </c>
      <c r="G7" s="60" t="n">
        <v>180</v>
      </c>
      <c r="H7" s="60" t="n">
        <v>300</v>
      </c>
      <c r="I7" s="61">
        <f>E7+G7</f>
        <v/>
      </c>
      <c r="J7" s="62">
        <f>D7*(E7+G7)</f>
        <v/>
      </c>
      <c r="K7" s="62">
        <f>D7*(F7+H7)</f>
        <v/>
      </c>
    </row>
    <row r="8" ht="28" customHeight="1">
      <c r="A8" s="39" t="inlineStr">
        <is>
          <t>A.1.3</t>
        </is>
      </c>
      <c r="B8" s="7" t="inlineStr">
        <is>
          <t>Islak hacimde mevcut şap kırımı (ort. 70 mm, tesisat boşluğu)</t>
        </is>
      </c>
      <c r="C8" s="9" t="inlineStr">
        <is>
          <t>m²</t>
        </is>
      </c>
      <c r="D8" s="55" t="n">
        <v>6.19</v>
      </c>
      <c r="E8" s="56" t="n">
        <v>0</v>
      </c>
      <c r="F8" s="56" t="n">
        <v>0</v>
      </c>
      <c r="G8" s="56" t="n">
        <v>600</v>
      </c>
      <c r="H8" s="56" t="n">
        <v>850</v>
      </c>
      <c r="I8" s="57">
        <f>E8+G8</f>
        <v/>
      </c>
      <c r="J8" s="58">
        <f>D8*(E8+G8)</f>
        <v/>
      </c>
      <c r="K8" s="58">
        <f>D8*(F8+H8)</f>
        <v/>
      </c>
    </row>
    <row r="9" ht="28" customHeight="1">
      <c r="A9" s="47" t="inlineStr">
        <is>
          <t>A.1.4</t>
        </is>
      </c>
      <c r="B9" s="48" t="inlineStr">
        <is>
          <t>Mevcut sıva üstü elektrik tesisatı ve tablosu sökümü</t>
        </is>
      </c>
      <c r="C9" s="51" t="inlineStr">
        <is>
          <t>tk</t>
        </is>
      </c>
      <c r="D9" s="59" t="n">
        <v>1</v>
      </c>
      <c r="E9" s="60" t="n">
        <v>0</v>
      </c>
      <c r="F9" s="60" t="n">
        <v>0</v>
      </c>
      <c r="G9" s="60" t="n">
        <v>25000</v>
      </c>
      <c r="H9" s="60" t="n">
        <v>42000</v>
      </c>
      <c r="I9" s="61">
        <f>E9+G9</f>
        <v/>
      </c>
      <c r="J9" s="62">
        <f>D9*(E9+G9)</f>
        <v/>
      </c>
      <c r="K9" s="62">
        <f>D9*(F9+H9)</f>
        <v/>
      </c>
    </row>
    <row r="10" ht="28" customHeight="1">
      <c r="A10" s="39" t="inlineStr">
        <is>
          <t>A.1.5</t>
        </is>
      </c>
      <c r="B10" s="7" t="inlineStr">
        <is>
          <t>Mevcut mağaza rafı, teşhir ünitesi ve mobilya sökümü</t>
        </is>
      </c>
      <c r="C10" s="9" t="inlineStr">
        <is>
          <t>tk</t>
        </is>
      </c>
      <c r="D10" s="55" t="n">
        <v>1</v>
      </c>
      <c r="E10" s="56" t="n">
        <v>0</v>
      </c>
      <c r="F10" s="56" t="n">
        <v>0</v>
      </c>
      <c r="G10" s="56" t="n">
        <v>35000</v>
      </c>
      <c r="H10" s="56" t="n">
        <v>60000</v>
      </c>
      <c r="I10" s="57">
        <f>E10+G10</f>
        <v/>
      </c>
      <c r="J10" s="58">
        <f>D10*(E10+G10)</f>
        <v/>
      </c>
      <c r="K10" s="58">
        <f>D10*(F10+H10)</f>
        <v/>
      </c>
    </row>
    <row r="11" ht="28" customHeight="1">
      <c r="A11" s="47" t="inlineStr">
        <is>
          <t>A.1.6</t>
        </is>
      </c>
      <c r="B11" s="48" t="inlineStr">
        <is>
          <t>Moloz çuvallama, yatay-düşey taşıma ve döküm sahasına nakli</t>
        </is>
      </c>
      <c r="C11" s="51" t="inlineStr">
        <is>
          <t>m³</t>
        </is>
      </c>
      <c r="D11" s="59" t="n">
        <v>13.47</v>
      </c>
      <c r="E11" s="60" t="n">
        <v>0</v>
      </c>
      <c r="F11" s="60" t="n">
        <v>0</v>
      </c>
      <c r="G11" s="60" t="n">
        <v>3600</v>
      </c>
      <c r="H11" s="60" t="n">
        <v>5200</v>
      </c>
      <c r="I11" s="61">
        <f>E11+G11</f>
        <v/>
      </c>
      <c r="J11" s="62">
        <f>D11*(E11+G11)</f>
        <v/>
      </c>
      <c r="K11" s="62">
        <f>D11*(F11+H11)</f>
        <v/>
      </c>
    </row>
    <row r="12" ht="18" customHeight="1">
      <c r="A12" s="28" t="inlineStr">
        <is>
          <t>B</t>
        </is>
      </c>
      <c r="B12" s="37" t="inlineStr">
        <is>
          <t>BÖLME DUVAR VE ALÇIPAN İŞLERİ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</row>
    <row r="13" ht="28" customHeight="1">
      <c r="A13" s="47" t="inlineStr">
        <is>
          <t>B.1.1</t>
        </is>
      </c>
      <c r="B13" s="48" t="inlineStr">
        <is>
          <t>D2 alçıpan bölme — 50 mm C profil @400 + 40 mm taşyünü + her yüz 2×12,5 mm A tipi alçıpan (toplam 100 mm)</t>
        </is>
      </c>
      <c r="C13" s="51" t="inlineStr">
        <is>
          <t>m²</t>
        </is>
      </c>
      <c r="D13" s="59" t="n">
        <v>28.44</v>
      </c>
      <c r="E13" s="60" t="n">
        <v>1900</v>
      </c>
      <c r="F13" s="60" t="n">
        <v>2350</v>
      </c>
      <c r="G13" s="60" t="n">
        <v>1300</v>
      </c>
      <c r="H13" s="60" t="n">
        <v>1700</v>
      </c>
      <c r="I13" s="61">
        <f>E13+G13</f>
        <v/>
      </c>
      <c r="J13" s="62">
        <f>D13*(E13+G13)</f>
        <v/>
      </c>
      <c r="K13" s="62">
        <f>D13*(F13+H13)</f>
        <v/>
      </c>
    </row>
    <row r="14" ht="28" customHeight="1">
      <c r="A14" s="39" t="inlineStr">
        <is>
          <t>B.1.2</t>
        </is>
      </c>
      <c r="B14" s="7" t="inlineStr">
        <is>
          <t>D3 alçıpan bölme — ıslak yüzde 2×12,5 mm H2 (yeşil) alçıpan, kuru yüzde 2×12,5 mm A tipi (toplam 100 mm)</t>
        </is>
      </c>
      <c r="C14" s="9" t="inlineStr">
        <is>
          <t>m²</t>
        </is>
      </c>
      <c r="D14" s="55" t="n">
        <v>60.42</v>
      </c>
      <c r="E14" s="56" t="n">
        <v>2250</v>
      </c>
      <c r="F14" s="56" t="n">
        <v>2800</v>
      </c>
      <c r="G14" s="56" t="n">
        <v>1300</v>
      </c>
      <c r="H14" s="56" t="n">
        <v>1700</v>
      </c>
      <c r="I14" s="57">
        <f>E14+G14</f>
        <v/>
      </c>
      <c r="J14" s="58">
        <f>D14*(E14+G14)</f>
        <v/>
      </c>
      <c r="K14" s="58">
        <f>D14*(F14+H14)</f>
        <v/>
      </c>
    </row>
    <row r="15" ht="28" customHeight="1">
      <c r="A15" s="47" t="inlineStr">
        <is>
          <t>B.1.3</t>
        </is>
      </c>
      <c r="B15" s="48" t="inlineStr">
        <is>
          <t>D4 akustik giydirme — bağımsız C profil karkas + 50 mm taşyünü + 12,5 mm akustik + 12,5 mm A tipi alçıpan (toplam 95 mm)</t>
        </is>
      </c>
      <c r="C15" s="51" t="inlineStr">
        <is>
          <t>m²</t>
        </is>
      </c>
      <c r="D15" s="59" t="n">
        <v>16.08</v>
      </c>
      <c r="E15" s="60" t="n">
        <v>1900</v>
      </c>
      <c r="F15" s="60" t="n">
        <v>2450</v>
      </c>
      <c r="G15" s="60" t="n">
        <v>1150</v>
      </c>
      <c r="H15" s="60" t="n">
        <v>1500</v>
      </c>
      <c r="I15" s="61">
        <f>E15+G15</f>
        <v/>
      </c>
      <c r="J15" s="62">
        <f>D15*(E15+G15)</f>
        <v/>
      </c>
      <c r="K15" s="62">
        <f>D15*(F15+H15)</f>
        <v/>
      </c>
    </row>
    <row r="16" ht="18" customHeight="1">
      <c r="A16" s="28" t="inlineStr">
        <is>
          <t>C</t>
        </is>
      </c>
      <c r="B16" s="37" t="inlineStr">
        <is>
          <t>ŞAP VE TESVİYE İŞLERİ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</row>
    <row r="17" ht="28" customHeight="1">
      <c r="A17" s="47" t="inlineStr">
        <is>
          <t>C.1.1</t>
        </is>
      </c>
      <c r="B17" s="48" t="inlineStr">
        <is>
          <t>Çimento esaslı kendinden yayılan tesviye şapı 3 mm — Z1 bölgesi (bitmiş kot ±0,00 eşitlemesi)</t>
        </is>
      </c>
      <c r="C17" s="51" t="inlineStr">
        <is>
          <t>m²</t>
        </is>
      </c>
      <c r="D17" s="59" t="n">
        <v>31.76</v>
      </c>
      <c r="E17" s="60" t="n">
        <v>320</v>
      </c>
      <c r="F17" s="60" t="n">
        <v>480</v>
      </c>
      <c r="G17" s="60" t="n">
        <v>260</v>
      </c>
      <c r="H17" s="60" t="n">
        <v>380</v>
      </c>
      <c r="I17" s="61">
        <f>E17+G17</f>
        <v/>
      </c>
      <c r="J17" s="62">
        <f>D17*(E17+G17)</f>
        <v/>
      </c>
      <c r="K17" s="62">
        <f>D17*(F17+H17)</f>
        <v/>
      </c>
    </row>
    <row r="18" ht="28" customHeight="1">
      <c r="A18" s="39" t="inlineStr">
        <is>
          <t>C.1.2</t>
        </is>
      </c>
      <c r="B18" s="7" t="inlineStr">
        <is>
          <t>Çimento esaslı tesviye şapı 30 mm — Z2 bölgesi (bitmiş kot ±0,00 eşitlemesi)</t>
        </is>
      </c>
      <c r="C18" s="9" t="inlineStr">
        <is>
          <t>m²</t>
        </is>
      </c>
      <c r="D18" s="55" t="n">
        <v>22.31</v>
      </c>
      <c r="E18" s="56" t="n">
        <v>420</v>
      </c>
      <c r="F18" s="56" t="n">
        <v>580</v>
      </c>
      <c r="G18" s="56" t="n">
        <v>420</v>
      </c>
      <c r="H18" s="56" t="n">
        <v>600</v>
      </c>
      <c r="I18" s="57">
        <f>E18+G18</f>
        <v/>
      </c>
      <c r="J18" s="58">
        <f>D18*(E18+G18)</f>
        <v/>
      </c>
      <c r="K18" s="58">
        <f>D18*(F18+H18)</f>
        <v/>
      </c>
    </row>
    <row r="19" ht="28" customHeight="1">
      <c r="A19" s="47" t="inlineStr">
        <is>
          <t>C.1.3</t>
        </is>
      </c>
      <c r="B19" s="48" t="inlineStr">
        <is>
          <t>Çimento esaslı tesviye şapı 42 mm — Z3 bölgesi (bitmiş kot ±0,00 eşitlemesi)</t>
        </is>
      </c>
      <c r="C19" s="51" t="inlineStr">
        <is>
          <t>m²</t>
        </is>
      </c>
      <c r="D19" s="59" t="n">
        <v>32.98</v>
      </c>
      <c r="E19" s="60" t="n">
        <v>520</v>
      </c>
      <c r="F19" s="60" t="n">
        <v>720</v>
      </c>
      <c r="G19" s="60" t="n">
        <v>460</v>
      </c>
      <c r="H19" s="60" t="n">
        <v>650</v>
      </c>
      <c r="I19" s="61">
        <f>E19+G19</f>
        <v/>
      </c>
      <c r="J19" s="62">
        <f>D19*(E19+G19)</f>
        <v/>
      </c>
      <c r="K19" s="62">
        <f>D19*(F19+H19)</f>
        <v/>
      </c>
    </row>
    <row r="20" ht="28" customHeight="1">
      <c r="A20" s="39" t="inlineStr">
        <is>
          <t>C.1.4</t>
        </is>
      </c>
      <c r="B20" s="7" t="inlineStr">
        <is>
          <t>Çimento esaslı tesviye şapı 38 mm — Z5 bölgesi (bitmiş kot ±0,00 eşitlemesi)</t>
        </is>
      </c>
      <c r="C20" s="9" t="inlineStr">
        <is>
          <t>m²</t>
        </is>
      </c>
      <c r="D20" s="55" t="n">
        <v>10.07</v>
      </c>
      <c r="E20" s="56" t="n">
        <v>480</v>
      </c>
      <c r="F20" s="56" t="n">
        <v>680</v>
      </c>
      <c r="G20" s="56" t="n">
        <v>440</v>
      </c>
      <c r="H20" s="56" t="n">
        <v>620</v>
      </c>
      <c r="I20" s="57">
        <f>E20+G20</f>
        <v/>
      </c>
      <c r="J20" s="58">
        <f>D20*(E20+G20)</f>
        <v/>
      </c>
      <c r="K20" s="58">
        <f>D20*(F20+H20)</f>
        <v/>
      </c>
    </row>
    <row r="21" ht="28" customHeight="1">
      <c r="A21" s="47" t="inlineStr">
        <is>
          <t>C.1.5</t>
        </is>
      </c>
      <c r="B21" s="48" t="inlineStr">
        <is>
          <t>Islak hacim tesisat şapı + süzgeğe %1,5 eğimli eğim şapı (ort. 40 mm)</t>
        </is>
      </c>
      <c r="C21" s="51" t="inlineStr">
        <is>
          <t>m²</t>
        </is>
      </c>
      <c r="D21" s="59" t="n">
        <v>6.19</v>
      </c>
      <c r="E21" s="60" t="n">
        <v>560</v>
      </c>
      <c r="F21" s="60" t="n">
        <v>780</v>
      </c>
      <c r="G21" s="60" t="n">
        <v>620</v>
      </c>
      <c r="H21" s="60" t="n">
        <v>880</v>
      </c>
      <c r="I21" s="61">
        <f>E21+G21</f>
        <v/>
      </c>
      <c r="J21" s="62">
        <f>D21*(E21+G21)</f>
        <v/>
      </c>
      <c r="K21" s="62">
        <f>D21*(F21+H21)</f>
        <v/>
      </c>
    </row>
    <row r="22" ht="18" customHeight="1">
      <c r="A22" s="28" t="inlineStr">
        <is>
          <t>D</t>
        </is>
      </c>
      <c r="B22" s="37" t="inlineStr">
        <is>
          <t>ZEMİN KAPLAMA VE SÜPÜRGELİK İŞLERİ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</row>
    <row r="23" ht="28" customHeight="1">
      <c r="A23" s="47" t="inlineStr">
        <is>
          <t>D.1.1</t>
        </is>
      </c>
      <c r="B23" s="48" t="inlineStr">
        <is>
          <t>Z1 — Granül kauçuk karo 1000×1000 mm, 40 mm, EPDM %10 taneli, Shore A 55±5 (EN 14041 · Bfl-s1) — puzzle kilitli kuru derz, çeperde 5 mm genleşme boşluğu</t>
        </is>
      </c>
      <c r="C23" s="51" t="inlineStr">
        <is>
          <t>m²</t>
        </is>
      </c>
      <c r="D23" s="59" t="n">
        <v>31.76</v>
      </c>
      <c r="E23" s="60" t="n">
        <v>2400</v>
      </c>
      <c r="F23" s="60" t="n">
        <v>3400</v>
      </c>
      <c r="G23" s="60" t="n">
        <v>350</v>
      </c>
      <c r="H23" s="60" t="n">
        <v>520</v>
      </c>
      <c r="I23" s="61">
        <f>E23+G23</f>
        <v/>
      </c>
      <c r="J23" s="62">
        <f>D23*(E23+G23)</f>
        <v/>
      </c>
      <c r="K23" s="62">
        <f>D23*(F23+H23)</f>
        <v/>
      </c>
    </row>
    <row r="24" ht="28" customHeight="1">
      <c r="A24" s="39" t="inlineStr">
        <is>
          <t>D.1.2</t>
        </is>
      </c>
      <c r="B24" s="7" t="inlineStr">
        <is>
          <t>Z2 — Granül kauçuk karo 1000×1000 mm, 20 mm, Shore A 60 (EN 14041 · Bfl-s1) — puzzle kilitli kuru derz</t>
        </is>
      </c>
      <c r="C24" s="9" t="inlineStr">
        <is>
          <t>m²</t>
        </is>
      </c>
      <c r="D24" s="55" t="n">
        <v>22.31</v>
      </c>
      <c r="E24" s="56" t="n">
        <v>1350</v>
      </c>
      <c r="F24" s="56" t="n">
        <v>1950</v>
      </c>
      <c r="G24" s="56" t="n">
        <v>300</v>
      </c>
      <c r="H24" s="56" t="n">
        <v>450</v>
      </c>
      <c r="I24" s="57">
        <f>E24+G24</f>
        <v/>
      </c>
      <c r="J24" s="58">
        <f>D24*(E24+G24)</f>
        <v/>
      </c>
      <c r="K24" s="58">
        <f>D24*(F24+H24)</f>
        <v/>
      </c>
    </row>
    <row r="25" ht="28" customHeight="1">
      <c r="A25" s="47" t="inlineStr">
        <is>
          <t>D.1.3</t>
        </is>
      </c>
      <c r="B25" s="48" t="inlineStr">
        <is>
          <t>Z3 — SPC klik LVT 5 mm, 0,55 mm aşınma tabakası (EN ISO 10874 sınıf 33 / AC5) + 2 mm IXPE akustik şilte — çeperde 8 mm genleşme boşluğu</t>
        </is>
      </c>
      <c r="C25" s="51" t="inlineStr">
        <is>
          <t>m²</t>
        </is>
      </c>
      <c r="D25" s="59" t="n">
        <v>32.98</v>
      </c>
      <c r="E25" s="60" t="n">
        <v>950</v>
      </c>
      <c r="F25" s="60" t="n">
        <v>1500</v>
      </c>
      <c r="G25" s="60" t="n">
        <v>420</v>
      </c>
      <c r="H25" s="60" t="n">
        <v>620</v>
      </c>
      <c r="I25" s="61">
        <f>E25+G25</f>
        <v/>
      </c>
      <c r="J25" s="62">
        <f>D25*(E25+G25)</f>
        <v/>
      </c>
      <c r="K25" s="62">
        <f>D25*(F25+H25)</f>
        <v/>
      </c>
    </row>
    <row r="26" ht="28" customHeight="1">
      <c r="A26" s="39" t="inlineStr">
        <is>
          <t>D.1.4</t>
        </is>
      </c>
      <c r="B26" s="7" t="inlineStr">
        <is>
          <t>Z4 — Porselen seramik 300×300 mm, R11 / B kaymazlık (EN 16165) + C2TE S1 yapıştırıcı</t>
        </is>
      </c>
      <c r="C26" s="9" t="inlineStr">
        <is>
          <t>m²</t>
        </is>
      </c>
      <c r="D26" s="55" t="n">
        <v>6.19</v>
      </c>
      <c r="E26" s="56" t="n">
        <v>750</v>
      </c>
      <c r="F26" s="56" t="n">
        <v>1150</v>
      </c>
      <c r="G26" s="56" t="n">
        <v>980</v>
      </c>
      <c r="H26" s="56" t="n">
        <v>1350</v>
      </c>
      <c r="I26" s="57">
        <f>E26+G26</f>
        <v/>
      </c>
      <c r="J26" s="58">
        <f>D26*(E26+G26)</f>
        <v/>
      </c>
      <c r="K26" s="58">
        <f>D26*(F26+H26)</f>
        <v/>
      </c>
    </row>
    <row r="27" ht="28" customHeight="1">
      <c r="A27" s="47" t="inlineStr">
        <is>
          <t>D.1.5</t>
        </is>
      </c>
      <c r="B27" s="48" t="inlineStr">
        <is>
          <t>Z5 — Porselen seramik 600×600 mm, R10, rektifiye, 2 mm derz (EN 14411 BIa) + C2TE yapıştırıcı</t>
        </is>
      </c>
      <c r="C27" s="51" t="inlineStr">
        <is>
          <t>m²</t>
        </is>
      </c>
      <c r="D27" s="59" t="n">
        <v>10.07</v>
      </c>
      <c r="E27" s="60" t="n">
        <v>850</v>
      </c>
      <c r="F27" s="60" t="n">
        <v>1350</v>
      </c>
      <c r="G27" s="60" t="n">
        <v>980</v>
      </c>
      <c r="H27" s="60" t="n">
        <v>1350</v>
      </c>
      <c r="I27" s="61">
        <f>E27+G27</f>
        <v/>
      </c>
      <c r="J27" s="62">
        <f>D27*(E27+G27)</f>
        <v/>
      </c>
      <c r="K27" s="62">
        <f>D27*(F27+H27)</f>
        <v/>
      </c>
    </row>
    <row r="28" ht="28" customHeight="1">
      <c r="A28" s="39" t="inlineStr">
        <is>
          <t>D.1.6</t>
        </is>
      </c>
      <c r="B28" s="7" t="inlineStr">
        <is>
          <t>Kauçuk titreşim yalıtım matı 10 mm (SBR granül 700 kg/m³) — duvara 50 mm yukarı dönüşlü yüzer döşeme</t>
        </is>
      </c>
      <c r="C28" s="9" t="inlineStr">
        <is>
          <t>m²</t>
        </is>
      </c>
      <c r="D28" s="55" t="n">
        <v>31.76</v>
      </c>
      <c r="E28" s="56" t="n">
        <v>650</v>
      </c>
      <c r="F28" s="56" t="n">
        <v>980</v>
      </c>
      <c r="G28" s="56" t="n">
        <v>180</v>
      </c>
      <c r="H28" s="56" t="n">
        <v>280</v>
      </c>
      <c r="I28" s="57">
        <f>E28+G28</f>
        <v/>
      </c>
      <c r="J28" s="58">
        <f>D28*(E28+G28)</f>
        <v/>
      </c>
      <c r="K28" s="58">
        <f>D28*(F28+H28)</f>
        <v/>
      </c>
    </row>
    <row r="29" ht="28" customHeight="1">
      <c r="A29" s="47" t="inlineStr">
        <is>
          <t>D.2.1</t>
        </is>
      </c>
      <c r="B29" s="48" t="inlineStr">
        <is>
          <t>Kauçuk süpürgelik 100×8 mm — zemin kaplamasıyla aynı malzeme, üst kenarı 45° pahlı</t>
        </is>
      </c>
      <c r="C29" s="51" t="inlineStr">
        <is>
          <t>mt</t>
        </is>
      </c>
      <c r="D29" s="59" t="n">
        <v>40.62</v>
      </c>
      <c r="E29" s="60" t="n">
        <v>210</v>
      </c>
      <c r="F29" s="60" t="n">
        <v>330</v>
      </c>
      <c r="G29" s="60" t="n">
        <v>140</v>
      </c>
      <c r="H29" s="60" t="n">
        <v>220</v>
      </c>
      <c r="I29" s="61">
        <f>E29+G29</f>
        <v/>
      </c>
      <c r="J29" s="62">
        <f>D29*(E29+G29)</f>
        <v/>
      </c>
      <c r="K29" s="62">
        <f>D29*(F29+H29)</f>
        <v/>
      </c>
    </row>
    <row r="30" ht="28" customHeight="1">
      <c r="A30" s="39" t="inlineStr">
        <is>
          <t>D.2.2</t>
        </is>
      </c>
      <c r="B30" s="7" t="inlineStr">
        <is>
          <t>MDF lake süpürgelik 80×16 mm — RAL 9003, akrilik mastik ile duvara yalanır</t>
        </is>
      </c>
      <c r="C30" s="9" t="inlineStr">
        <is>
          <t>mt</t>
        </is>
      </c>
      <c r="D30" s="55" t="n">
        <v>23.65</v>
      </c>
      <c r="E30" s="56" t="n">
        <v>240</v>
      </c>
      <c r="F30" s="56" t="n">
        <v>380</v>
      </c>
      <c r="G30" s="56" t="n">
        <v>160</v>
      </c>
      <c r="H30" s="56" t="n">
        <v>250</v>
      </c>
      <c r="I30" s="57">
        <f>E30+G30</f>
        <v/>
      </c>
      <c r="J30" s="58">
        <f>D30*(E30+G30)</f>
        <v/>
      </c>
      <c r="K30" s="58">
        <f>D30*(F30+H30)</f>
        <v/>
      </c>
    </row>
    <row r="31" ht="28" customHeight="1">
      <c r="A31" s="47" t="inlineStr">
        <is>
          <t>D.2.4</t>
        </is>
      </c>
      <c r="B31" s="48" t="inlineStr">
        <is>
          <t>Porselen süpürgelik 80 mm — zemin karosundan kesme, rektifiye kenar</t>
        </is>
      </c>
      <c r="C31" s="51" t="inlineStr">
        <is>
          <t>mt</t>
        </is>
      </c>
      <c r="D31" s="59" t="n">
        <v>16.17</v>
      </c>
      <c r="E31" s="60" t="n">
        <v>180</v>
      </c>
      <c r="F31" s="60" t="n">
        <v>290</v>
      </c>
      <c r="G31" s="60" t="n">
        <v>200</v>
      </c>
      <c r="H31" s="60" t="n">
        <v>310</v>
      </c>
      <c r="I31" s="61">
        <f>E31+G31</f>
        <v/>
      </c>
      <c r="J31" s="62">
        <f>D31*(E31+G31)</f>
        <v/>
      </c>
      <c r="K31" s="62">
        <f>D31*(F31+H31)</f>
        <v/>
      </c>
    </row>
    <row r="32" ht="18" customHeight="1">
      <c r="A32" s="28" t="inlineStr">
        <is>
          <t>E</t>
        </is>
      </c>
      <c r="B32" s="37" t="inlineStr">
        <is>
          <t>SERAMİK VE SU YALITIMI İŞLERİ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</row>
    <row r="33" ht="28" customHeight="1">
      <c r="A33" s="47" t="inlineStr">
        <is>
          <t>E.1.1</t>
        </is>
      </c>
      <c r="B33" s="48" t="inlineStr">
        <is>
          <t>D5 duvar seramiği 300×600 mm, rektifiye — duş kabininde tavana kadar</t>
        </is>
      </c>
      <c r="C33" s="51" t="inlineStr">
        <is>
          <t>m²</t>
        </is>
      </c>
      <c r="D33" s="59" t="n">
        <v>21.68</v>
      </c>
      <c r="E33" s="60" t="n">
        <v>780</v>
      </c>
      <c r="F33" s="60" t="n">
        <v>1250</v>
      </c>
      <c r="G33" s="60" t="n">
        <v>1015</v>
      </c>
      <c r="H33" s="60" t="n">
        <v>1400</v>
      </c>
      <c r="I33" s="61">
        <f>E33+G33</f>
        <v/>
      </c>
      <c r="J33" s="62">
        <f>D33*(E33+G33)</f>
        <v/>
      </c>
      <c r="K33" s="62">
        <f>D33*(F33+H33)</f>
        <v/>
      </c>
    </row>
    <row r="34" ht="28" customHeight="1">
      <c r="A34" s="39" t="inlineStr">
        <is>
          <t>E.1.2</t>
        </is>
      </c>
      <c r="B34" s="7" t="inlineStr">
        <is>
          <t>D5 duvar seramiği 300×600 mm — WC'de h = 1,60 m</t>
        </is>
      </c>
      <c r="C34" s="9" t="inlineStr">
        <is>
          <t>m²</t>
        </is>
      </c>
      <c r="D34" s="55" t="n">
        <v>14.46</v>
      </c>
      <c r="E34" s="56" t="n">
        <v>780</v>
      </c>
      <c r="F34" s="56" t="n">
        <v>1250</v>
      </c>
      <c r="G34" s="56" t="n">
        <v>1015</v>
      </c>
      <c r="H34" s="56" t="n">
        <v>1400</v>
      </c>
      <c r="I34" s="57">
        <f>E34+G34</f>
        <v/>
      </c>
      <c r="J34" s="58">
        <f>D34*(E34+G34)</f>
        <v/>
      </c>
      <c r="K34" s="58">
        <f>D34*(F34+H34)</f>
        <v/>
      </c>
    </row>
    <row r="35" ht="28" customHeight="1">
      <c r="A35" s="47" t="inlineStr">
        <is>
          <t>E.1.3</t>
        </is>
      </c>
      <c r="B35" s="48" t="inlineStr">
        <is>
          <t>Çimento esaslı 2 bileşenli su yalıtımı, 2 kat (EN 14891) — zemin</t>
        </is>
      </c>
      <c r="C35" s="51" t="inlineStr">
        <is>
          <t>m²</t>
        </is>
      </c>
      <c r="D35" s="59" t="n">
        <v>6.19</v>
      </c>
      <c r="E35" s="60" t="n">
        <v>480</v>
      </c>
      <c r="F35" s="60" t="n">
        <v>700</v>
      </c>
      <c r="G35" s="60" t="n">
        <v>380</v>
      </c>
      <c r="H35" s="60" t="n">
        <v>560</v>
      </c>
      <c r="I35" s="61">
        <f>E35+G35</f>
        <v/>
      </c>
      <c r="J35" s="62">
        <f>D35*(E35+G35)</f>
        <v/>
      </c>
      <c r="K35" s="62">
        <f>D35*(F35+H35)</f>
        <v/>
      </c>
    </row>
    <row r="36" ht="28" customHeight="1">
      <c r="A36" s="39" t="inlineStr">
        <is>
          <t>E.1.4</t>
        </is>
      </c>
      <c r="B36" s="7" t="inlineStr">
        <is>
          <t>Çimento esaslı su yalıtımı, 2 kat — duvarda dönüş (duşta 2,00 m, WC'de 0,30 m)</t>
        </is>
      </c>
      <c r="C36" s="9" t="inlineStr">
        <is>
          <t>m²</t>
        </is>
      </c>
      <c r="D36" s="55" t="n">
        <v>23.47</v>
      </c>
      <c r="E36" s="56" t="n">
        <v>480</v>
      </c>
      <c r="F36" s="56" t="n">
        <v>700</v>
      </c>
      <c r="G36" s="56" t="n">
        <v>420</v>
      </c>
      <c r="H36" s="56" t="n">
        <v>620</v>
      </c>
      <c r="I36" s="57">
        <f>E36+G36</f>
        <v/>
      </c>
      <c r="J36" s="58">
        <f>D36*(E36+G36)</f>
        <v/>
      </c>
      <c r="K36" s="58">
        <f>D36*(F36+H36)</f>
        <v/>
      </c>
    </row>
    <row r="37" ht="28" customHeight="1">
      <c r="A37" s="47" t="inlineStr">
        <is>
          <t>E.1.5</t>
        </is>
      </c>
      <c r="B37" s="48" t="inlineStr">
        <is>
          <t>Elastik su yalıtım bandı 120 mm — zemin-duvar birleşimi ve köşeler</t>
        </is>
      </c>
      <c r="C37" s="51" t="inlineStr">
        <is>
          <t>mt</t>
        </is>
      </c>
      <c r="D37" s="59" t="n">
        <v>52.61</v>
      </c>
      <c r="E37" s="60" t="n">
        <v>95</v>
      </c>
      <c r="F37" s="60" t="n">
        <v>160</v>
      </c>
      <c r="G37" s="60" t="n">
        <v>120</v>
      </c>
      <c r="H37" s="60" t="n">
        <v>190</v>
      </c>
      <c r="I37" s="61">
        <f>E37+G37</f>
        <v/>
      </c>
      <c r="J37" s="62">
        <f>D37*(E37+G37)</f>
        <v/>
      </c>
      <c r="K37" s="62">
        <f>D37*(F37+H37)</f>
        <v/>
      </c>
    </row>
    <row r="38" ht="18" customHeight="1">
      <c r="A38" s="28" t="inlineStr">
        <is>
          <t>F</t>
        </is>
      </c>
      <c r="B38" s="37" t="inlineStr">
        <is>
          <t>ASMA TAVAN VE BOYA İŞLERİ</t>
        </is>
      </c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</row>
    <row r="39" ht="28" customHeight="1">
      <c r="A39" s="47" t="inlineStr">
        <is>
          <t>F.1.1</t>
        </is>
      </c>
      <c r="B39" s="48" t="inlineStr">
        <is>
          <t>T2 Alçıpan asma tavan — kuru hacim — kot +2,75</t>
        </is>
      </c>
      <c r="C39" s="51" t="inlineStr">
        <is>
          <t>m²</t>
        </is>
      </c>
      <c r="D39" s="59" t="n">
        <v>32.98</v>
      </c>
      <c r="E39" s="60" t="n">
        <v>1050</v>
      </c>
      <c r="F39" s="60" t="n">
        <v>1400</v>
      </c>
      <c r="G39" s="60" t="n">
        <v>950</v>
      </c>
      <c r="H39" s="60" t="n">
        <v>1300</v>
      </c>
      <c r="I39" s="61">
        <f>E39+G39</f>
        <v/>
      </c>
      <c r="J39" s="62">
        <f>D39*(E39+G39)</f>
        <v/>
      </c>
      <c r="K39" s="62">
        <f>D39*(F39+H39)</f>
        <v/>
      </c>
    </row>
    <row r="40" ht="28" customHeight="1">
      <c r="A40" s="39" t="inlineStr">
        <is>
          <t>F.1.2</t>
        </is>
      </c>
      <c r="B40" s="7" t="inlineStr">
        <is>
          <t>T4 Alçıpan asma tavan — soyunma — kot +2,60</t>
        </is>
      </c>
      <c r="C40" s="9" t="inlineStr">
        <is>
          <t>m²</t>
        </is>
      </c>
      <c r="D40" s="55" t="n">
        <v>10.07</v>
      </c>
      <c r="E40" s="56" t="n">
        <v>1050</v>
      </c>
      <c r="F40" s="56" t="n">
        <v>1400</v>
      </c>
      <c r="G40" s="56" t="n">
        <v>950</v>
      </c>
      <c r="H40" s="56" t="n">
        <v>1300</v>
      </c>
      <c r="I40" s="57">
        <f>E40+G40</f>
        <v/>
      </c>
      <c r="J40" s="58">
        <f>D40*(E40+G40)</f>
        <v/>
      </c>
      <c r="K40" s="58">
        <f>D40*(F40+H40)</f>
        <v/>
      </c>
    </row>
    <row r="41" ht="28" customHeight="1">
      <c r="A41" s="47" t="inlineStr">
        <is>
          <t>F.1.3</t>
        </is>
      </c>
      <c r="B41" s="48" t="inlineStr">
        <is>
          <t>T3 Alçıpan asma tavan — ıslak hacim — kot +2,40</t>
        </is>
      </c>
      <c r="C41" s="51" t="inlineStr">
        <is>
          <t>m²</t>
        </is>
      </c>
      <c r="D41" s="59" t="n">
        <v>6.19</v>
      </c>
      <c r="E41" s="60" t="n">
        <v>1250</v>
      </c>
      <c r="F41" s="60" t="n">
        <v>1650</v>
      </c>
      <c r="G41" s="60" t="n">
        <v>980</v>
      </c>
      <c r="H41" s="60" t="n">
        <v>1350</v>
      </c>
      <c r="I41" s="61">
        <f>E41+G41</f>
        <v/>
      </c>
      <c r="J41" s="62">
        <f>D41*(E41+G41)</f>
        <v/>
      </c>
      <c r="K41" s="62">
        <f>D41*(F41+H41)</f>
        <v/>
      </c>
    </row>
    <row r="42" ht="28" customHeight="1">
      <c r="A42" s="39" t="inlineStr">
        <is>
          <t>F.1.4</t>
        </is>
      </c>
      <c r="B42" s="7" t="inlineStr">
        <is>
          <t>T1 açık tavan — döşeme altı raspa, temizlik ve 2 kat siyah akrilik boya (kanal ve askılar dâhil)</t>
        </is>
      </c>
      <c r="C42" s="9" t="inlineStr">
        <is>
          <t>m²</t>
        </is>
      </c>
      <c r="D42" s="55" t="n">
        <v>54.07</v>
      </c>
      <c r="E42" s="56" t="n">
        <v>180</v>
      </c>
      <c r="F42" s="56" t="n">
        <v>280</v>
      </c>
      <c r="G42" s="56" t="n">
        <v>420</v>
      </c>
      <c r="H42" s="56" t="n">
        <v>650</v>
      </c>
      <c r="I42" s="57">
        <f>E42+G42</f>
        <v/>
      </c>
      <c r="J42" s="58">
        <f>D42*(E42+G42)</f>
        <v/>
      </c>
      <c r="K42" s="58">
        <f>D42*(F42+H42)</f>
        <v/>
      </c>
    </row>
    <row r="43" ht="28" customHeight="1">
      <c r="A43" s="47" t="inlineStr">
        <is>
          <t>F.1.5</t>
        </is>
      </c>
      <c r="B43" s="48" t="inlineStr">
        <is>
          <t>Asma tavan revizyon kapağı 300×300 mm, menteşeli</t>
        </is>
      </c>
      <c r="C43" s="51" t="inlineStr">
        <is>
          <t>ad</t>
        </is>
      </c>
      <c r="D43" s="59" t="n">
        <v>4</v>
      </c>
      <c r="E43" s="60" t="n">
        <v>1400</v>
      </c>
      <c r="F43" s="60" t="n">
        <v>2200</v>
      </c>
      <c r="G43" s="60" t="n">
        <v>450</v>
      </c>
      <c r="H43" s="60" t="n">
        <v>700</v>
      </c>
      <c r="I43" s="61">
        <f>E43+G43</f>
        <v/>
      </c>
      <c r="J43" s="62">
        <f>D43*(E43+G43)</f>
        <v/>
      </c>
      <c r="K43" s="62">
        <f>D43*(F43+H43)</f>
        <v/>
      </c>
    </row>
    <row r="44" ht="28" customHeight="1">
      <c r="A44" s="39" t="inlineStr">
        <is>
          <t>F.1.6</t>
        </is>
      </c>
      <c r="B44" s="7" t="inlineStr">
        <is>
          <t>Akustik taşyünü asma baffle 1200×600×50 mm (αw ≈ 0,90)</t>
        </is>
      </c>
      <c r="C44" s="9" t="inlineStr">
        <is>
          <t>ad</t>
        </is>
      </c>
      <c r="D44" s="55" t="n">
        <v>12</v>
      </c>
      <c r="E44" s="56" t="n">
        <v>2800</v>
      </c>
      <c r="F44" s="56" t="n">
        <v>4500</v>
      </c>
      <c r="G44" s="56" t="n">
        <v>450</v>
      </c>
      <c r="H44" s="56" t="n">
        <v>700</v>
      </c>
      <c r="I44" s="57">
        <f>E44+G44</f>
        <v/>
      </c>
      <c r="J44" s="58">
        <f>D44*(E44+G44)</f>
        <v/>
      </c>
      <c r="K44" s="58">
        <f>D44*(F44+H44)</f>
        <v/>
      </c>
    </row>
    <row r="45" ht="28" customHeight="1">
      <c r="A45" s="47" t="inlineStr">
        <is>
          <t>F.2.1</t>
        </is>
      </c>
      <c r="B45" s="48" t="inlineStr">
        <is>
          <t>Saten alçı perdah 2 kat + akrilik astar + su bazlı silikonlu mat iç cephe boyası 2 kat (sınıf 1 yıkanabilir)</t>
        </is>
      </c>
      <c r="C45" s="51" t="inlineStr">
        <is>
          <t>m²</t>
        </is>
      </c>
      <c r="D45" s="59" t="n">
        <v>286.08</v>
      </c>
      <c r="E45" s="60" t="n">
        <v>145</v>
      </c>
      <c r="F45" s="60" t="n">
        <v>230</v>
      </c>
      <c r="G45" s="60" t="n">
        <v>240</v>
      </c>
      <c r="H45" s="60" t="n">
        <v>380</v>
      </c>
      <c r="I45" s="61">
        <f>E45+G45</f>
        <v/>
      </c>
      <c r="J45" s="62">
        <f>D45*(E45+G45)</f>
        <v/>
      </c>
      <c r="K45" s="62">
        <f>D45*(F45+H45)</f>
        <v/>
      </c>
    </row>
    <row r="46" ht="28" customHeight="1">
      <c r="A46" s="39" t="inlineStr">
        <is>
          <t>F.2.2</t>
        </is>
      </c>
      <c r="B46" s="7" t="inlineStr">
        <is>
          <t>Su bazlı küf önleyici yarı mat banyo boyası, 2 kat — seramik üstü kalan yüzey</t>
        </is>
      </c>
      <c r="C46" s="9" t="inlineStr">
        <is>
          <t>m²</t>
        </is>
      </c>
      <c r="D46" s="55" t="n">
        <v>8.35</v>
      </c>
      <c r="E46" s="56" t="n">
        <v>180</v>
      </c>
      <c r="F46" s="56" t="n">
        <v>290</v>
      </c>
      <c r="G46" s="56" t="n">
        <v>240</v>
      </c>
      <c r="H46" s="56" t="n">
        <v>380</v>
      </c>
      <c r="I46" s="57">
        <f>E46+G46</f>
        <v/>
      </c>
      <c r="J46" s="58">
        <f>D46*(E46+G46)</f>
        <v/>
      </c>
      <c r="K46" s="58">
        <f>D46*(F46+H46)</f>
        <v/>
      </c>
    </row>
    <row r="47" ht="28" customHeight="1">
      <c r="A47" s="47" t="inlineStr">
        <is>
          <t>F.2.3</t>
        </is>
      </c>
      <c r="B47" s="48" t="inlineStr">
        <is>
          <t>Asma tavan alçıpan yüzeyi — derz bandı + saten alçı + astar + 2 kat mat boya</t>
        </is>
      </c>
      <c r="C47" s="51" t="inlineStr">
        <is>
          <t>m²</t>
        </is>
      </c>
      <c r="D47" s="59" t="n">
        <v>43.05</v>
      </c>
      <c r="E47" s="60" t="n">
        <v>145</v>
      </c>
      <c r="F47" s="60" t="n">
        <v>230</v>
      </c>
      <c r="G47" s="60" t="n">
        <v>260</v>
      </c>
      <c r="H47" s="60" t="n">
        <v>400</v>
      </c>
      <c r="I47" s="61">
        <f>E47+G47</f>
        <v/>
      </c>
      <c r="J47" s="62">
        <f>D47*(E47+G47)</f>
        <v/>
      </c>
      <c r="K47" s="62">
        <f>D47*(F47+H47)</f>
        <v/>
      </c>
    </row>
    <row r="48" ht="18" customHeight="1">
      <c r="A48" s="28" t="inlineStr">
        <is>
          <t>G</t>
        </is>
      </c>
      <c r="B48" s="37" t="inlineStr">
        <is>
          <t>DOĞRAMA, CAM VE AYNA İŞLERİ</t>
        </is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</row>
    <row r="49" ht="28" customHeight="1">
      <c r="A49" s="47" t="inlineStr">
        <is>
          <t>G.1.1</t>
        </is>
      </c>
      <c r="B49" s="48" t="inlineStr">
        <is>
          <t>K01 — Çift kanat cam kapı (2×800); Mevcut alüminyum doğrama + 8 mm temperli cam (1600×2400 mm)</t>
        </is>
      </c>
      <c r="C49" s="51" t="inlineStr">
        <is>
          <t>ad</t>
        </is>
      </c>
      <c r="D49" s="59" t="n">
        <v>1</v>
      </c>
      <c r="E49" s="60" t="n">
        <v>38000</v>
      </c>
      <c r="F49" s="60" t="n">
        <v>62000</v>
      </c>
      <c r="G49" s="60" t="n">
        <v>12000</v>
      </c>
      <c r="H49" s="60" t="n">
        <v>20000</v>
      </c>
      <c r="I49" s="61">
        <f>E49+G49</f>
        <v/>
      </c>
      <c r="J49" s="62">
        <f>D49*(E49+G49)</f>
        <v/>
      </c>
      <c r="K49" s="62">
        <f>D49*(F49+H49)</f>
        <v/>
      </c>
    </row>
    <row r="50" ht="28" customHeight="1">
      <c r="A50" s="39" t="inlineStr">
        <is>
          <t>G.1.2</t>
        </is>
      </c>
      <c r="B50" s="7" t="inlineStr">
        <is>
          <t>K02 — Tek kanat acil çıkış; Alüminyum + 8 mm temperli cam (1000×2100 mm)</t>
        </is>
      </c>
      <c r="C50" s="9" t="inlineStr">
        <is>
          <t>ad</t>
        </is>
      </c>
      <c r="D50" s="55" t="n">
        <v>1</v>
      </c>
      <c r="E50" s="56" t="n">
        <v>42000</v>
      </c>
      <c r="F50" s="56" t="n">
        <v>68000</v>
      </c>
      <c r="G50" s="56" t="n">
        <v>12000</v>
      </c>
      <c r="H50" s="56" t="n">
        <v>20000</v>
      </c>
      <c r="I50" s="57">
        <f>E50+G50</f>
        <v/>
      </c>
      <c r="J50" s="58">
        <f>D50*(E50+G50)</f>
        <v/>
      </c>
      <c r="K50" s="58">
        <f>D50*(F50+H50)</f>
        <v/>
      </c>
    </row>
    <row r="51" ht="28" customHeight="1">
      <c r="A51" s="47" t="inlineStr">
        <is>
          <t>G.1.3</t>
        </is>
      </c>
      <c r="B51" s="48" t="inlineStr">
        <is>
          <t>K03 — Tek kanat panel kapı; MDF laminat kaplı kanat, WPC kasa ve pervaz (900×2100 mm)</t>
        </is>
      </c>
      <c r="C51" s="51" t="inlineStr">
        <is>
          <t>ad</t>
        </is>
      </c>
      <c r="D51" s="59" t="n">
        <v>1</v>
      </c>
      <c r="E51" s="60" t="n">
        <v>14000</v>
      </c>
      <c r="F51" s="60" t="n">
        <v>22000</v>
      </c>
      <c r="G51" s="60" t="n">
        <v>4500</v>
      </c>
      <c r="H51" s="60" t="n">
        <v>7000</v>
      </c>
      <c r="I51" s="61">
        <f>E51+G51</f>
        <v/>
      </c>
      <c r="J51" s="62">
        <f>D51*(E51+G51)</f>
        <v/>
      </c>
      <c r="K51" s="62">
        <f>D51*(F51+H51)</f>
        <v/>
      </c>
    </row>
    <row r="52" ht="28" customHeight="1">
      <c r="A52" s="39" t="inlineStr">
        <is>
          <t>G.1.4</t>
        </is>
      </c>
      <c r="B52" s="7" t="inlineStr">
        <is>
          <t>K04 — Tek kanat panel kapı; MDF laminat kaplı kanat, WPC kasa ve pervaz (900×2100 mm)</t>
        </is>
      </c>
      <c r="C52" s="9" t="inlineStr">
        <is>
          <t>ad</t>
        </is>
      </c>
      <c r="D52" s="55" t="n">
        <v>1</v>
      </c>
      <c r="E52" s="56" t="n">
        <v>14000</v>
      </c>
      <c r="F52" s="56" t="n">
        <v>22000</v>
      </c>
      <c r="G52" s="56" t="n">
        <v>4500</v>
      </c>
      <c r="H52" s="56" t="n">
        <v>7000</v>
      </c>
      <c r="I52" s="57">
        <f>E52+G52</f>
        <v/>
      </c>
      <c r="J52" s="58">
        <f>D52*(E52+G52)</f>
        <v/>
      </c>
      <c r="K52" s="58">
        <f>D52*(F52+H52)</f>
        <v/>
      </c>
    </row>
    <row r="53" ht="28" customHeight="1">
      <c r="A53" s="47" t="inlineStr">
        <is>
          <t>G.1.5</t>
        </is>
      </c>
      <c r="B53" s="48" t="inlineStr">
        <is>
          <t>K05 — Tek kanat WC kapısı; Tam WPC (su geçirmez) kanat ve kasa (700×2000 mm)</t>
        </is>
      </c>
      <c r="C53" s="51" t="inlineStr">
        <is>
          <t>ad</t>
        </is>
      </c>
      <c r="D53" s="59" t="n">
        <v>1</v>
      </c>
      <c r="E53" s="60" t="n">
        <v>11000</v>
      </c>
      <c r="F53" s="60" t="n">
        <v>18000</v>
      </c>
      <c r="G53" s="60" t="n">
        <v>4000</v>
      </c>
      <c r="H53" s="60" t="n">
        <v>6500</v>
      </c>
      <c r="I53" s="61">
        <f>E53+G53</f>
        <v/>
      </c>
      <c r="J53" s="62">
        <f>D53*(E53+G53)</f>
        <v/>
      </c>
      <c r="K53" s="62">
        <f>D53*(F53+H53)</f>
        <v/>
      </c>
    </row>
    <row r="54" ht="28" customHeight="1">
      <c r="A54" s="39" t="inlineStr">
        <is>
          <t>G.1.6</t>
        </is>
      </c>
      <c r="B54" s="7" t="inlineStr">
        <is>
          <t>K06 — Tek kanat WC kapısı; Tam WPC (su geçirmez) kanat ve kasa (700×2000 mm)</t>
        </is>
      </c>
      <c r="C54" s="9" t="inlineStr">
        <is>
          <t>ad</t>
        </is>
      </c>
      <c r="D54" s="55" t="n">
        <v>1</v>
      </c>
      <c r="E54" s="56" t="n">
        <v>11000</v>
      </c>
      <c r="F54" s="56" t="n">
        <v>18000</v>
      </c>
      <c r="G54" s="56" t="n">
        <v>4000</v>
      </c>
      <c r="H54" s="56" t="n">
        <v>6500</v>
      </c>
      <c r="I54" s="57">
        <f>E54+G54</f>
        <v/>
      </c>
      <c r="J54" s="58">
        <f>D54*(E54+G54)</f>
        <v/>
      </c>
      <c r="K54" s="58">
        <f>D54*(F54+H54)</f>
        <v/>
      </c>
    </row>
    <row r="55" ht="28" customHeight="1">
      <c r="A55" s="47" t="inlineStr">
        <is>
          <t>G.1.7</t>
        </is>
      </c>
      <c r="B55" s="48" t="inlineStr">
        <is>
          <t>K07 — Duş kapağı; 6 mm temperli cam, alüminyum profil (700×1950 mm)</t>
        </is>
      </c>
      <c r="C55" s="51" t="inlineStr">
        <is>
          <t>ad</t>
        </is>
      </c>
      <c r="D55" s="59" t="n">
        <v>1</v>
      </c>
      <c r="E55" s="60" t="n">
        <v>13000</v>
      </c>
      <c r="F55" s="60" t="n">
        <v>21000</v>
      </c>
      <c r="G55" s="60" t="n">
        <v>4500</v>
      </c>
      <c r="H55" s="60" t="n">
        <v>7000</v>
      </c>
      <c r="I55" s="61">
        <f>E55+G55</f>
        <v/>
      </c>
      <c r="J55" s="62">
        <f>D55*(E55+G55)</f>
        <v/>
      </c>
      <c r="K55" s="62">
        <f>D55*(F55+H55)</f>
        <v/>
      </c>
    </row>
    <row r="56" ht="28" customHeight="1">
      <c r="A56" s="39" t="inlineStr">
        <is>
          <t>G.1.8</t>
        </is>
      </c>
      <c r="B56" s="7" t="inlineStr">
        <is>
          <t>K08 — Duş kapağı; 6 mm temperli cam, alüminyum profil (700×1950 mm)</t>
        </is>
      </c>
      <c r="C56" s="9" t="inlineStr">
        <is>
          <t>ad</t>
        </is>
      </c>
      <c r="D56" s="55" t="n">
        <v>1</v>
      </c>
      <c r="E56" s="56" t="n">
        <v>13000</v>
      </c>
      <c r="F56" s="56" t="n">
        <v>21000</v>
      </c>
      <c r="G56" s="56" t="n">
        <v>4500</v>
      </c>
      <c r="H56" s="56" t="n">
        <v>7000</v>
      </c>
      <c r="I56" s="57">
        <f>E56+G56</f>
        <v/>
      </c>
      <c r="J56" s="58">
        <f>D56*(E56+G56)</f>
        <v/>
      </c>
      <c r="K56" s="58">
        <f>D56*(F56+H56)</f>
        <v/>
      </c>
    </row>
    <row r="57" ht="28" customHeight="1">
      <c r="A57" s="47" t="inlineStr">
        <is>
          <t>G.1.9</t>
        </is>
      </c>
      <c r="B57" s="48" t="inlineStr">
        <is>
          <t>K09 — Tek kanat dolap kapağı; MDF laminat, banko arkası niş (700×2000 mm)</t>
        </is>
      </c>
      <c r="C57" s="51" t="inlineStr">
        <is>
          <t>ad</t>
        </is>
      </c>
      <c r="D57" s="59" t="n">
        <v>1</v>
      </c>
      <c r="E57" s="60" t="n">
        <v>6500</v>
      </c>
      <c r="F57" s="60" t="n">
        <v>11000</v>
      </c>
      <c r="G57" s="60" t="n">
        <v>2500</v>
      </c>
      <c r="H57" s="60" t="n">
        <v>4000</v>
      </c>
      <c r="I57" s="61">
        <f>E57+G57</f>
        <v/>
      </c>
      <c r="J57" s="62">
        <f>D57*(E57+G57)</f>
        <v/>
      </c>
      <c r="K57" s="62">
        <f>D57*(F57+H57)</f>
        <v/>
      </c>
    </row>
    <row r="58" ht="28" customHeight="1">
      <c r="A58" s="39" t="inlineStr">
        <is>
          <t>G.2.1</t>
        </is>
      </c>
      <c r="B58" s="7" t="inlineStr">
        <is>
          <t>D6 ayna duvarı — 18 mm su kontraplağı altlık + 6 mm güvenlik filmli ayna, alt/üst alüminyum mekanik emniyet profilli</t>
        </is>
      </c>
      <c r="C58" s="9" t="inlineStr">
        <is>
          <t>m²</t>
        </is>
      </c>
      <c r="D58" s="55" t="n">
        <v>9.6</v>
      </c>
      <c r="E58" s="56" t="n">
        <v>3200</v>
      </c>
      <c r="F58" s="56" t="n">
        <v>5200</v>
      </c>
      <c r="G58" s="56" t="n">
        <v>1400</v>
      </c>
      <c r="H58" s="56" t="n">
        <v>2200</v>
      </c>
      <c r="I58" s="57">
        <f>E58+G58</f>
        <v/>
      </c>
      <c r="J58" s="58">
        <f>D58*(E58+G58)</f>
        <v/>
      </c>
      <c r="K58" s="58">
        <f>D58*(F58+H58)</f>
        <v/>
      </c>
    </row>
    <row r="59" ht="28" customHeight="1">
      <c r="A59" s="47" t="inlineStr">
        <is>
          <t>G.2.2</t>
        </is>
      </c>
      <c r="B59" s="48" t="inlineStr">
        <is>
          <t>Boy aynası 60×110 cm, güvenlik filmli</t>
        </is>
      </c>
      <c r="C59" s="51" t="inlineStr">
        <is>
          <t>ad</t>
        </is>
      </c>
      <c r="D59" s="59" t="n">
        <v>2</v>
      </c>
      <c r="E59" s="60" t="n">
        <v>3800</v>
      </c>
      <c r="F59" s="60" t="n">
        <v>6200</v>
      </c>
      <c r="G59" s="60" t="n">
        <v>1200</v>
      </c>
      <c r="H59" s="60" t="n">
        <v>1900</v>
      </c>
      <c r="I59" s="61">
        <f>E59+G59</f>
        <v/>
      </c>
      <c r="J59" s="62">
        <f>D59*(E59+G59)</f>
        <v/>
      </c>
      <c r="K59" s="62">
        <f>D59*(F59+H59)</f>
        <v/>
      </c>
    </row>
    <row r="60" ht="28" customHeight="1">
      <c r="A60" s="39" t="inlineStr">
        <is>
          <t>G.2.3</t>
        </is>
      </c>
      <c r="B60" s="7" t="inlineStr">
        <is>
          <t>Cephe vitrininde buzlu folyo (alt 1,20 m) + güneş kontrol filmi</t>
        </is>
      </c>
      <c r="C60" s="9" t="inlineStr">
        <is>
          <t>m²</t>
        </is>
      </c>
      <c r="D60" s="55" t="n">
        <v>18.34</v>
      </c>
      <c r="E60" s="56" t="n">
        <v>420</v>
      </c>
      <c r="F60" s="56" t="n">
        <v>700</v>
      </c>
      <c r="G60" s="56" t="n">
        <v>320</v>
      </c>
      <c r="H60" s="56" t="n">
        <v>520</v>
      </c>
      <c r="I60" s="57">
        <f>E60+G60</f>
        <v/>
      </c>
      <c r="J60" s="58">
        <f>D60*(E60+G60)</f>
        <v/>
      </c>
      <c r="K60" s="58">
        <f>D60*(F60+H60)</f>
        <v/>
      </c>
    </row>
    <row r="61" ht="18" customHeight="1">
      <c r="A61" s="28" t="inlineStr">
        <is>
          <t>H</t>
        </is>
      </c>
      <c r="B61" s="37" t="inlineStr">
        <is>
          <t>SABİT MOBİLYA İŞLERİ</t>
        </is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</row>
    <row r="62" ht="28" customHeight="1">
      <c r="A62" s="39" t="inlineStr">
        <is>
          <t>H.1.1</t>
        </is>
      </c>
      <c r="B62" s="7" t="inlineStr">
        <is>
          <t>Resepsiyon bankosu 120×60×110 cm — lake MDF gövde + kompakt lamine tezgâh, gömme kuvvet ve veri kutulu</t>
        </is>
      </c>
      <c r="C62" s="9" t="inlineStr">
        <is>
          <t>ad</t>
        </is>
      </c>
      <c r="D62" s="55" t="n">
        <v>1</v>
      </c>
      <c r="E62" s="56" t="n">
        <v>48000</v>
      </c>
      <c r="F62" s="56" t="n">
        <v>78000</v>
      </c>
      <c r="G62" s="56" t="n">
        <v>15000</v>
      </c>
      <c r="H62" s="56" t="n">
        <v>25000</v>
      </c>
      <c r="I62" s="57">
        <f>E62+G62</f>
        <v/>
      </c>
      <c r="J62" s="58">
        <f>D62*(E62+G62)</f>
        <v/>
      </c>
      <c r="K62" s="58">
        <f>D62*(F62+H62)</f>
        <v/>
      </c>
    </row>
    <row r="63" ht="28" customHeight="1">
      <c r="A63" s="47" t="inlineStr">
        <is>
          <t>H.1.2</t>
        </is>
      </c>
      <c r="B63" s="48" t="inlineStr">
        <is>
          <t>8 gözlü soyunma dolabı 160×45×180 cm — laminat, havalandırma delikli, kilitli</t>
        </is>
      </c>
      <c r="C63" s="51" t="inlineStr">
        <is>
          <t>ad</t>
        </is>
      </c>
      <c r="D63" s="59" t="n">
        <v>2</v>
      </c>
      <c r="E63" s="60" t="n">
        <v>26000</v>
      </c>
      <c r="F63" s="60" t="n">
        <v>44000</v>
      </c>
      <c r="G63" s="60" t="n">
        <v>5000</v>
      </c>
      <c r="H63" s="60" t="n">
        <v>8500</v>
      </c>
      <c r="I63" s="61">
        <f>E63+G63</f>
        <v/>
      </c>
      <c r="J63" s="62">
        <f>D63*(E63+G63)</f>
        <v/>
      </c>
      <c r="K63" s="62">
        <f>D63*(F63+H63)</f>
        <v/>
      </c>
    </row>
    <row r="64" ht="28" customHeight="1">
      <c r="A64" s="39" t="inlineStr">
        <is>
          <t>H.1.3</t>
        </is>
      </c>
      <c r="B64" s="7" t="inlineStr">
        <is>
          <t>Soyunma bankı 160×35 cm — ahşap latalı, duvara konsol bağlantılı</t>
        </is>
      </c>
      <c r="C64" s="9" t="inlineStr">
        <is>
          <t>ad</t>
        </is>
      </c>
      <c r="D64" s="55" t="n">
        <v>2</v>
      </c>
      <c r="E64" s="56" t="n">
        <v>9500</v>
      </c>
      <c r="F64" s="56" t="n">
        <v>16000</v>
      </c>
      <c r="G64" s="56" t="n">
        <v>2800</v>
      </c>
      <c r="H64" s="56" t="n">
        <v>4500</v>
      </c>
      <c r="I64" s="57">
        <f>E64+G64</f>
        <v/>
      </c>
      <c r="J64" s="58">
        <f>D64*(E64+G64)</f>
        <v/>
      </c>
      <c r="K64" s="58">
        <f>D64*(F64+H64)</f>
        <v/>
      </c>
    </row>
    <row r="65" ht="28" customHeight="1">
      <c r="A65" s="47" t="inlineStr">
        <is>
          <t>H.1.4</t>
        </is>
      </c>
      <c r="B65" s="48" t="inlineStr">
        <is>
          <t>Paslanmaz askılık, 5 kancalı</t>
        </is>
      </c>
      <c r="C65" s="51" t="inlineStr">
        <is>
          <t>ad</t>
        </is>
      </c>
      <c r="D65" s="59" t="n">
        <v>2</v>
      </c>
      <c r="E65" s="60" t="n">
        <v>2200</v>
      </c>
      <c r="F65" s="60" t="n">
        <v>3800</v>
      </c>
      <c r="G65" s="60" t="n">
        <v>700</v>
      </c>
      <c r="H65" s="60" t="n">
        <v>1200</v>
      </c>
      <c r="I65" s="61">
        <f>E65+G65</f>
        <v/>
      </c>
      <c r="J65" s="62">
        <f>D65*(E65+G65)</f>
        <v/>
      </c>
      <c r="K65" s="62">
        <f>D65*(F65+H65)</f>
        <v/>
      </c>
    </row>
    <row r="66" ht="28" customHeight="1">
      <c r="A66" s="39" t="inlineStr">
        <is>
          <t>H.1.5</t>
        </is>
      </c>
      <c r="B66" s="7" t="inlineStr">
        <is>
          <t>Depo / teknik dolap — banko arkası niş, havalandırma menfezli</t>
        </is>
      </c>
      <c r="C66" s="9" t="inlineStr">
        <is>
          <t>ad</t>
        </is>
      </c>
      <c r="D66" s="55" t="n">
        <v>1</v>
      </c>
      <c r="E66" s="56" t="n">
        <v>14000</v>
      </c>
      <c r="F66" s="56" t="n">
        <v>24000</v>
      </c>
      <c r="G66" s="56" t="n">
        <v>4500</v>
      </c>
      <c r="H66" s="56" t="n">
        <v>7500</v>
      </c>
      <c r="I66" s="57">
        <f>E66+G66</f>
        <v/>
      </c>
      <c r="J66" s="58">
        <f>D66*(E66+G66)</f>
        <v/>
      </c>
      <c r="K66" s="58">
        <f>D66*(F66+H66)</f>
        <v/>
      </c>
    </row>
    <row r="67" ht="18" customHeight="1">
      <c r="A67" s="28" t="inlineStr">
        <is>
          <t>I</t>
        </is>
      </c>
      <c r="B67" s="37" t="inlineStr">
        <is>
          <t>YANGIN GÜVENLİK VE İŞARETLEME</t>
        </is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</row>
    <row r="68" ht="28" customHeight="1">
      <c r="A68" s="39" t="inlineStr">
        <is>
          <t>I.1.1</t>
        </is>
      </c>
      <c r="B68" s="7" t="inlineStr">
        <is>
          <t>6 kg ABC kuru kimyevi tozlu yangın söndürücü — askı aparatı ve levhası ile</t>
        </is>
      </c>
      <c r="C68" s="9" t="inlineStr">
        <is>
          <t>ad</t>
        </is>
      </c>
      <c r="D68" s="55" t="n">
        <v>3</v>
      </c>
      <c r="E68" s="56" t="n">
        <v>2400</v>
      </c>
      <c r="F68" s="56" t="n">
        <v>3900</v>
      </c>
      <c r="G68" s="56" t="n">
        <v>600</v>
      </c>
      <c r="H68" s="56" t="n">
        <v>1000</v>
      </c>
      <c r="I68" s="57">
        <f>E68+G68</f>
        <v/>
      </c>
      <c r="J68" s="58">
        <f>D68*(E68+G68)</f>
        <v/>
      </c>
      <c r="K68" s="58">
        <f>D68*(F68+H68)</f>
        <v/>
      </c>
    </row>
    <row r="69" ht="28" customHeight="1">
      <c r="A69" s="47" t="inlineStr">
        <is>
          <t>I.1.2</t>
        </is>
      </c>
      <c r="B69" s="48" t="inlineStr">
        <is>
          <t>Yangın dolabı — 30 m hortum, TS EN 671-2 (GSİM talebine bağlı opsiyon)</t>
        </is>
      </c>
      <c r="C69" s="51" t="inlineStr">
        <is>
          <t>ad</t>
        </is>
      </c>
      <c r="D69" s="59" t="n">
        <v>1</v>
      </c>
      <c r="E69" s="60" t="n">
        <v>26000</v>
      </c>
      <c r="F69" s="60" t="n">
        <v>42000</v>
      </c>
      <c r="G69" s="60" t="n">
        <v>7000</v>
      </c>
      <c r="H69" s="60" t="n">
        <v>12000</v>
      </c>
      <c r="I69" s="61">
        <f>E69+G69</f>
        <v/>
      </c>
      <c r="J69" s="62">
        <f>D69*(E69+G69)</f>
        <v/>
      </c>
      <c r="K69" s="62">
        <f>D69*(F69+H69)</f>
        <v/>
      </c>
    </row>
    <row r="70" ht="28" customHeight="1">
      <c r="A70" s="39" t="inlineStr">
        <is>
          <t>I.1.3</t>
        </is>
      </c>
      <c r="B70" s="7" t="inlineStr">
        <is>
          <t>Fotolüminesan yönlendirme ve yasak levhaları</t>
        </is>
      </c>
      <c r="C70" s="9" t="inlineStr">
        <is>
          <t>ad</t>
        </is>
      </c>
      <c r="D70" s="55" t="n">
        <v>7</v>
      </c>
      <c r="E70" s="56" t="n">
        <v>900</v>
      </c>
      <c r="F70" s="56" t="n">
        <v>1600</v>
      </c>
      <c r="G70" s="56" t="n">
        <v>350</v>
      </c>
      <c r="H70" s="56" t="n">
        <v>600</v>
      </c>
      <c r="I70" s="57">
        <f>E70+G70</f>
        <v/>
      </c>
      <c r="J70" s="58">
        <f>D70*(E70+G70)</f>
        <v/>
      </c>
      <c r="K70" s="58">
        <f>D70*(F70+H70)</f>
        <v/>
      </c>
    </row>
    <row r="71" ht="18" customHeight="1">
      <c r="A71" s="28" t="inlineStr">
        <is>
          <t>J</t>
        </is>
      </c>
      <c r="B71" s="37" t="inlineStr">
        <is>
          <t>ŞANTİYE GENEL GİDERLERİ</t>
        </is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</row>
    <row r="72" ht="28" customHeight="1">
      <c r="A72" s="39" t="inlineStr">
        <is>
          <t>J.1.1</t>
        </is>
      </c>
      <c r="B72" s="7" t="inlineStr">
        <is>
          <t>İnce ve kaba temizlik, teslim öncesi detay temizliği</t>
        </is>
      </c>
      <c r="C72" s="9" t="inlineStr">
        <is>
          <t>m²</t>
        </is>
      </c>
      <c r="D72" s="55" t="n">
        <v>103.78</v>
      </c>
      <c r="E72" s="56" t="n">
        <v>0</v>
      </c>
      <c r="F72" s="56" t="n">
        <v>0</v>
      </c>
      <c r="G72" s="56" t="n">
        <v>480</v>
      </c>
      <c r="H72" s="56" t="n">
        <v>760</v>
      </c>
      <c r="I72" s="57">
        <f>E72+G72</f>
        <v/>
      </c>
      <c r="J72" s="58">
        <f>D72*(E72+G72)</f>
        <v/>
      </c>
      <c r="K72" s="58">
        <f>D72*(F72+H72)</f>
        <v/>
      </c>
    </row>
    <row r="73" ht="28" customHeight="1">
      <c r="A73" s="47" t="inlineStr">
        <is>
          <t>J.1.2</t>
        </is>
      </c>
      <c r="B73" s="48" t="inlineStr">
        <is>
          <t>Şantiye kurulumu, koruma örtüleri, hoarding ve güvenlik</t>
        </is>
      </c>
      <c r="C73" s="51" t="inlineStr">
        <is>
          <t>tk</t>
        </is>
      </c>
      <c r="D73" s="59" t="n">
        <v>1</v>
      </c>
      <c r="E73" s="60" t="n">
        <v>18000</v>
      </c>
      <c r="F73" s="60" t="n">
        <v>32000</v>
      </c>
      <c r="G73" s="60" t="n">
        <v>37000</v>
      </c>
      <c r="H73" s="60" t="n">
        <v>63000</v>
      </c>
      <c r="I73" s="61">
        <f>E73+G73</f>
        <v/>
      </c>
      <c r="J73" s="62">
        <f>D73*(E73+G73)</f>
        <v/>
      </c>
      <c r="K73" s="62">
        <f>D73*(F73+H73)</f>
        <v/>
      </c>
    </row>
    <row r="74" ht="28" customHeight="1">
      <c r="A74" s="39" t="inlineStr">
        <is>
          <t>J.1.3</t>
        </is>
      </c>
      <c r="B74" s="7" t="inlineStr">
        <is>
          <t>Nakliyeler (malzeme sevkiyatı, vinç/asansör kullanımı)</t>
        </is>
      </c>
      <c r="C74" s="9" t="inlineStr">
        <is>
          <t>tk</t>
        </is>
      </c>
      <c r="D74" s="55" t="n">
        <v>1</v>
      </c>
      <c r="E74" s="56" t="n">
        <v>0</v>
      </c>
      <c r="F74" s="56" t="n">
        <v>0</v>
      </c>
      <c r="G74" s="56" t="n">
        <v>48000</v>
      </c>
      <c r="H74" s="56" t="n">
        <v>85000</v>
      </c>
      <c r="I74" s="57">
        <f>E74+G74</f>
        <v/>
      </c>
      <c r="J74" s="58">
        <f>D74*(E74+G74)</f>
        <v/>
      </c>
      <c r="K74" s="58">
        <f>D74*(F74+H74)</f>
        <v/>
      </c>
    </row>
    <row r="75" ht="28" customHeight="1">
      <c r="A75" s="47" t="inlineStr">
        <is>
          <t>J.1.4</t>
        </is>
      </c>
      <c r="B75" s="48" t="inlineStr">
        <is>
          <t>Usta ve düz işçi çalışmaları (poz dışı ilave işler)</t>
        </is>
      </c>
      <c r="C75" s="51" t="inlineStr">
        <is>
          <t>yev</t>
        </is>
      </c>
      <c r="D75" s="59" t="n">
        <v>35</v>
      </c>
      <c r="E75" s="60" t="n">
        <v>0</v>
      </c>
      <c r="F75" s="60" t="n">
        <v>0</v>
      </c>
      <c r="G75" s="60" t="n">
        <v>4900</v>
      </c>
      <c r="H75" s="60" t="n">
        <v>6800</v>
      </c>
      <c r="I75" s="61">
        <f>E75+G75</f>
        <v/>
      </c>
      <c r="J75" s="62">
        <f>D75*(E75+G75)</f>
        <v/>
      </c>
      <c r="K75" s="62">
        <f>D75*(F75+H75)</f>
        <v/>
      </c>
    </row>
    <row r="76">
      <c r="A76" s="29" t="inlineStr">
        <is>
          <t>MİMARİ İMALATLAR TOPLAMI (KDV hariç)</t>
        </is>
      </c>
      <c r="J76" s="30">
        <f>SUM(J5:J75)</f>
        <v/>
      </c>
      <c r="K76" s="30">
        <f>SUM(K5:K75)</f>
        <v/>
      </c>
    </row>
  </sheetData>
  <mergeCells count="13">
    <mergeCell ref="B67:K67"/>
    <mergeCell ref="B61:K61"/>
    <mergeCell ref="B22:K22"/>
    <mergeCell ref="B71:K71"/>
    <mergeCell ref="B32:K32"/>
    <mergeCell ref="B48:K48"/>
    <mergeCell ref="A76:I76"/>
    <mergeCell ref="A2:K2"/>
    <mergeCell ref="B12:K12"/>
    <mergeCell ref="B38:K38"/>
    <mergeCell ref="B16:K16"/>
    <mergeCell ref="A1:K1"/>
    <mergeCell ref="B5:K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4" customWidth="1" min="2" max="2"/>
    <col width="9" customWidth="1" min="3" max="3"/>
    <col width="11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 ht="24" customHeight="1">
      <c r="A1" s="1" t="inlineStr">
        <is>
          <t>MEKANİK KEŞİF  ·  KEŞİF ÖZETİ</t>
        </is>
      </c>
    </row>
    <row r="2" ht="15" customHeight="1">
      <c r="A2" s="11" t="inlineStr">
        <is>
          <t>MALTEPE / İDEALTEPE — MOBİLYA MAĞAZASI → FONKSİYONEL ANTRENMAN STÜDYOSU · Rev G · KDV hariç TL · sarı hücre teklif verence doldurulur</t>
        </is>
      </c>
    </row>
    <row r="3">
      <c r="H3" s="63">
        <f>F42</f>
        <v/>
      </c>
    </row>
    <row r="4" ht="32" customHeight="1">
      <c r="A4" s="12" t="inlineStr">
        <is>
          <t>POZ NO</t>
        </is>
      </c>
      <c r="B4" s="12" t="inlineStr">
        <is>
          <t>YAPILACAK İŞİN CİNSİ</t>
        </is>
      </c>
      <c r="C4" s="12" t="inlineStr">
        <is>
          <t>BİRİM</t>
        </is>
      </c>
      <c r="D4" s="12" t="inlineStr">
        <is>
          <t>MİKTAR</t>
        </is>
      </c>
      <c r="E4" s="12" t="inlineStr">
        <is>
          <t>BİRİM FİYAT
(teklif)</t>
        </is>
      </c>
      <c r="F4" s="12" t="inlineStr">
        <is>
          <t>TUTAR
(teklif)</t>
        </is>
      </c>
      <c r="G4" s="12" t="inlineStr">
        <is>
          <t>BÜTÇE DÜŞÜK</t>
        </is>
      </c>
      <c r="H4" s="12" t="inlineStr">
        <is>
          <t>BÜTÇE YÜKSEK</t>
        </is>
      </c>
    </row>
    <row r="5" ht="26" customHeight="1">
      <c r="A5" s="47" t="inlineStr">
        <is>
          <t>06.01</t>
        </is>
      </c>
      <c r="B5" s="48" t="inlineStr">
        <is>
          <t>Kanal tipi taze hava fanı — 1.000 m³/h / 250 Pa, hız kontrollü</t>
        </is>
      </c>
      <c r="C5" s="51" t="inlineStr">
        <is>
          <t>adet</t>
        </is>
      </c>
      <c r="D5" s="59" t="n">
        <v>1</v>
      </c>
      <c r="E5" s="44" t="n"/>
      <c r="F5" s="54">
        <f>D5*E5</f>
        <v/>
      </c>
      <c r="G5" s="60" t="n">
        <v>18500</v>
      </c>
      <c r="H5" s="60" t="n">
        <v>31000</v>
      </c>
    </row>
    <row r="6" ht="26" customHeight="1">
      <c r="A6" s="39" t="inlineStr">
        <is>
          <t>06.02</t>
        </is>
      </c>
      <c r="B6" s="7" t="inlineStr">
        <is>
          <t>Kanal tipi egzoz fanı — 760 m³/h / 200 Pa</t>
        </is>
      </c>
      <c r="C6" s="9" t="inlineStr">
        <is>
          <t>adet</t>
        </is>
      </c>
      <c r="D6" s="55" t="n">
        <v>1</v>
      </c>
      <c r="E6" s="44" t="n"/>
      <c r="F6" s="46">
        <f>D6*E6</f>
        <v/>
      </c>
      <c r="G6" s="56" t="n">
        <v>14500</v>
      </c>
      <c r="H6" s="56" t="n">
        <v>24000</v>
      </c>
    </row>
    <row r="7" ht="26" customHeight="1">
      <c r="A7" s="47" t="inlineStr">
        <is>
          <t>06.03</t>
        </is>
      </c>
      <c r="B7" s="48" t="inlineStr">
        <is>
          <t>Islak hacim egzoz fanı — 240 m³/h, sessiz tip, nem sensörlü</t>
        </is>
      </c>
      <c r="C7" s="51" t="inlineStr">
        <is>
          <t>adet</t>
        </is>
      </c>
      <c r="D7" s="59" t="n">
        <v>1</v>
      </c>
      <c r="E7" s="44" t="n"/>
      <c r="F7" s="54">
        <f>D7*E7</f>
        <v/>
      </c>
      <c r="G7" s="60" t="n">
        <v>6500</v>
      </c>
      <c r="H7" s="60" t="n">
        <v>11500</v>
      </c>
    </row>
    <row r="8" ht="26" customHeight="1">
      <c r="A8" s="39" t="inlineStr">
        <is>
          <t>06.04</t>
        </is>
      </c>
      <c r="B8" s="7" t="inlineStr">
        <is>
          <t>Galvaniz dikdörtgen kanal 500×150 — besleme ana hattı</t>
        </is>
      </c>
      <c r="C8" s="9" t="inlineStr">
        <is>
          <t>m</t>
        </is>
      </c>
      <c r="D8" s="55" t="n">
        <v>16.8</v>
      </c>
      <c r="E8" s="44" t="n"/>
      <c r="F8" s="46">
        <f>D8*E8</f>
        <v/>
      </c>
      <c r="G8" s="56" t="n">
        <v>22680</v>
      </c>
      <c r="H8" s="56" t="n">
        <v>36960</v>
      </c>
    </row>
    <row r="9" ht="26" customHeight="1">
      <c r="A9" s="47" t="inlineStr">
        <is>
          <t>06.05</t>
        </is>
      </c>
      <c r="B9" s="48" t="inlineStr">
        <is>
          <t>Galvaniz dikdörtgen kanal 400×150 — egzoz ana hattı</t>
        </is>
      </c>
      <c r="C9" s="51" t="inlineStr">
        <is>
          <t>m</t>
        </is>
      </c>
      <c r="D9" s="59" t="n">
        <v>10.5</v>
      </c>
      <c r="E9" s="44" t="n"/>
      <c r="F9" s="54">
        <f>D9*E9</f>
        <v/>
      </c>
      <c r="G9" s="60" t="n">
        <v>12075</v>
      </c>
      <c r="H9" s="60" t="n">
        <v>19950</v>
      </c>
    </row>
    <row r="10" ht="26" customHeight="1">
      <c r="A10" s="39" t="inlineStr">
        <is>
          <t>06.06</t>
        </is>
      </c>
      <c r="B10" s="7" t="inlineStr">
        <is>
          <t>Spiro kanal Ø200 — menfez branşmanları</t>
        </is>
      </c>
      <c r="C10" s="9" t="inlineStr">
        <is>
          <t>m</t>
        </is>
      </c>
      <c r="D10" s="55" t="n">
        <v>4.4</v>
      </c>
      <c r="E10" s="44" t="n"/>
      <c r="F10" s="46">
        <f>D10*E10</f>
        <v/>
      </c>
      <c r="G10" s="56" t="n">
        <v>2728</v>
      </c>
      <c r="H10" s="56" t="n">
        <v>4620</v>
      </c>
    </row>
    <row r="11" ht="26" customHeight="1">
      <c r="A11" s="47" t="inlineStr">
        <is>
          <t>06.06b</t>
        </is>
      </c>
      <c r="B11" s="48" t="inlineStr">
        <is>
          <t>Spiro kanal Ø125 — ıslak hacim valf branşmanları</t>
        </is>
      </c>
      <c r="C11" s="51" t="inlineStr">
        <is>
          <t>m</t>
        </is>
      </c>
      <c r="D11" s="59" t="n">
        <v>3</v>
      </c>
      <c r="E11" s="44" t="n"/>
      <c r="F11" s="54">
        <f>D11*E11</f>
        <v/>
      </c>
      <c r="G11" s="60" t="n">
        <v>1260</v>
      </c>
      <c r="H11" s="60" t="n">
        <v>2160</v>
      </c>
    </row>
    <row r="12" ht="26" customHeight="1">
      <c r="A12" s="39" t="inlineStr">
        <is>
          <t>06.07</t>
        </is>
      </c>
      <c r="B12" s="7" t="inlineStr">
        <is>
          <t>Spiro kanal Ø160 — ıslak hacim egzoz hattı</t>
        </is>
      </c>
      <c r="C12" s="9" t="inlineStr">
        <is>
          <t>m</t>
        </is>
      </c>
      <c r="D12" s="55" t="n">
        <v>15</v>
      </c>
      <c r="E12" s="44" t="n"/>
      <c r="F12" s="46">
        <f>D12*E12</f>
        <v/>
      </c>
      <c r="G12" s="56" t="n">
        <v>8100</v>
      </c>
      <c r="H12" s="56" t="n">
        <v>13500</v>
      </c>
    </row>
    <row r="13" ht="26" customHeight="1">
      <c r="A13" s="47" t="inlineStr">
        <is>
          <t>06.08</t>
        </is>
      </c>
      <c r="B13" s="48" t="inlineStr">
        <is>
          <t>Çift sıra ayarlı besleme menfezi 300×150 + plenum</t>
        </is>
      </c>
      <c r="C13" s="51" t="inlineStr">
        <is>
          <t>adet</t>
        </is>
      </c>
      <c r="D13" s="59" t="n">
        <v>4</v>
      </c>
      <c r="E13" s="44" t="n"/>
      <c r="F13" s="54">
        <f>D13*E13</f>
        <v/>
      </c>
      <c r="G13" s="60" t="n">
        <v>9600</v>
      </c>
      <c r="H13" s="60" t="n">
        <v>15600</v>
      </c>
    </row>
    <row r="14" ht="26" customHeight="1">
      <c r="A14" s="39" t="inlineStr">
        <is>
          <t>06.09</t>
        </is>
      </c>
      <c r="B14" s="7" t="inlineStr">
        <is>
          <t>Egzoz menfezi 300×150 + plenum</t>
        </is>
      </c>
      <c r="C14" s="9" t="inlineStr">
        <is>
          <t>adet</t>
        </is>
      </c>
      <c r="D14" s="55" t="n">
        <v>3</v>
      </c>
      <c r="E14" s="44" t="n"/>
      <c r="F14" s="46">
        <f>D14*E14</f>
        <v/>
      </c>
      <c r="G14" s="56" t="n">
        <v>6300</v>
      </c>
      <c r="H14" s="56" t="n">
        <v>10200</v>
      </c>
    </row>
    <row r="15" ht="26" customHeight="1">
      <c r="A15" s="47" t="inlineStr">
        <is>
          <t>06.10</t>
        </is>
      </c>
      <c r="B15" s="48" t="inlineStr">
        <is>
          <t>Tavan egzoz valfi Ø160 (duş / WC)</t>
        </is>
      </c>
      <c r="C15" s="51" t="inlineStr">
        <is>
          <t>adet</t>
        </is>
      </c>
      <c r="D15" s="59" t="n">
        <v>4</v>
      </c>
      <c r="E15" s="44" t="n"/>
      <c r="F15" s="54">
        <f>D15*E15</f>
        <v/>
      </c>
      <c r="G15" s="60" t="n">
        <v>3800</v>
      </c>
      <c r="H15" s="60" t="n">
        <v>6400</v>
      </c>
    </row>
    <row r="16" ht="26" customHeight="1">
      <c r="A16" s="39" t="inlineStr">
        <is>
          <t>06.11</t>
        </is>
      </c>
      <c r="B16" s="7" t="inlineStr">
        <is>
          <t>Debi ayar damperi (branşman başı)</t>
        </is>
      </c>
      <c r="C16" s="9" t="inlineStr">
        <is>
          <t>adet</t>
        </is>
      </c>
      <c r="D16" s="55" t="n">
        <v>7</v>
      </c>
      <c r="E16" s="44" t="n"/>
      <c r="F16" s="46">
        <f>D16*E16</f>
        <v/>
      </c>
      <c r="G16" s="56" t="n">
        <v>8050</v>
      </c>
      <c r="H16" s="56" t="n">
        <v>13300</v>
      </c>
    </row>
    <row r="17" ht="26" customHeight="1">
      <c r="A17" s="47" t="inlineStr">
        <is>
          <t>06.12</t>
        </is>
      </c>
      <c r="B17" s="48" t="inlineStr">
        <is>
          <t>Kanal susturucusu 1.000 mm — besleme ve egzoz</t>
        </is>
      </c>
      <c r="C17" s="51" t="inlineStr">
        <is>
          <t>adet</t>
        </is>
      </c>
      <c r="D17" s="59" t="n">
        <v>2</v>
      </c>
      <c r="E17" s="44" t="n"/>
      <c r="F17" s="54">
        <f>D17*E17</f>
        <v/>
      </c>
      <c r="G17" s="60" t="n">
        <v>13600</v>
      </c>
      <c r="H17" s="60" t="n">
        <v>23000</v>
      </c>
    </row>
    <row r="18" ht="26" customHeight="1">
      <c r="A18" s="39" t="inlineStr">
        <is>
          <t>06.13</t>
        </is>
      </c>
      <c r="B18" s="7" t="inlineStr">
        <is>
          <t>Dış hava / egzoz panjuru + kuş teli</t>
        </is>
      </c>
      <c r="C18" s="9" t="inlineStr">
        <is>
          <t>adet</t>
        </is>
      </c>
      <c r="D18" s="55" t="n">
        <v>3</v>
      </c>
      <c r="E18" s="44" t="n"/>
      <c r="F18" s="46">
        <f>D18*E18</f>
        <v/>
      </c>
      <c r="G18" s="56" t="n">
        <v>9600</v>
      </c>
      <c r="H18" s="56" t="n">
        <v>16200</v>
      </c>
    </row>
    <row r="19" ht="26" customHeight="1">
      <c r="A19" s="47" t="inlineStr">
        <is>
          <t>06.14</t>
        </is>
      </c>
      <c r="B19" s="48" t="inlineStr">
        <is>
          <t>Kanal izolasyonu — 19 mm elastomerik kauçuk</t>
        </is>
      </c>
      <c r="C19" s="51" t="inlineStr">
        <is>
          <t>m²</t>
        </is>
      </c>
      <c r="D19" s="59" t="n">
        <v>35.5</v>
      </c>
      <c r="E19" s="44" t="n"/>
      <c r="F19" s="54">
        <f>D19*E19</f>
        <v/>
      </c>
      <c r="G19" s="60" t="n">
        <v>27690</v>
      </c>
      <c r="H19" s="60" t="n">
        <v>46150</v>
      </c>
    </row>
    <row r="20" ht="26" customHeight="1">
      <c r="A20" s="39" t="inlineStr">
        <is>
          <t>06.15</t>
        </is>
      </c>
      <c r="B20" s="7" t="inlineStr">
        <is>
          <t>Kanal askı, taşıyıcı ve titreşim takozu</t>
        </is>
      </c>
      <c r="C20" s="9" t="inlineStr">
        <is>
          <t>m</t>
        </is>
      </c>
      <c r="D20" s="55" t="n">
        <v>42.3</v>
      </c>
      <c r="E20" s="44" t="n"/>
      <c r="F20" s="46">
        <f>D20*E20</f>
        <v/>
      </c>
      <c r="G20" s="56" t="n">
        <v>13536</v>
      </c>
      <c r="H20" s="56" t="n">
        <v>22842</v>
      </c>
    </row>
    <row r="21" ht="26" customHeight="1">
      <c r="A21" s="47" t="inlineStr">
        <is>
          <t>06.16</t>
        </is>
      </c>
      <c r="B21" s="48" t="inlineStr">
        <is>
          <t>Hava debisi ölçümü, balanslama ve test raporu</t>
        </is>
      </c>
      <c r="C21" s="51" t="inlineStr">
        <is>
          <t>götürü</t>
        </is>
      </c>
      <c r="D21" s="59" t="n">
        <v>1</v>
      </c>
      <c r="E21" s="44" t="n"/>
      <c r="F21" s="54">
        <f>D21*E21</f>
        <v/>
      </c>
      <c r="G21" s="60" t="n">
        <v>12000</v>
      </c>
      <c r="H21" s="60" t="n">
        <v>22000</v>
      </c>
    </row>
    <row r="22" ht="26" customHeight="1">
      <c r="A22" s="39" t="inlineStr">
        <is>
          <t>06.17</t>
        </is>
      </c>
      <c r="B22" s="7" t="inlineStr">
        <is>
          <t>SEÇENEK — ısı geri kazanımlı taze hava ünitesi 1.000 m³/h (%75 verim)</t>
        </is>
      </c>
      <c r="C22" s="9" t="inlineStr">
        <is>
          <t>adet</t>
        </is>
      </c>
      <c r="D22" s="55" t="n">
        <v>1</v>
      </c>
      <c r="E22" s="44" t="n"/>
      <c r="F22" s="46">
        <f>D22*E22</f>
        <v/>
      </c>
      <c r="G22" s="56" t="n">
        <v>95000</v>
      </c>
      <c r="H22" s="56" t="n">
        <v>165000</v>
      </c>
    </row>
    <row r="23" ht="26" customHeight="1">
      <c r="A23" s="47" t="inlineStr">
        <is>
          <t>06.20</t>
        </is>
      </c>
      <c r="B23" s="48" t="inlineStr">
        <is>
          <t>Duvar tipi inverter split klima 24.000 BTU (iç + dış ünite)</t>
        </is>
      </c>
      <c r="C23" s="51" t="inlineStr">
        <is>
          <t>adet</t>
        </is>
      </c>
      <c r="D23" s="59" t="n">
        <v>1</v>
      </c>
      <c r="E23" s="44" t="n"/>
      <c r="F23" s="54">
        <f>D23*E23</f>
        <v/>
      </c>
      <c r="G23" s="60" t="n">
        <v>34000</v>
      </c>
      <c r="H23" s="60" t="n">
        <v>55000</v>
      </c>
    </row>
    <row r="24" ht="26" customHeight="1">
      <c r="A24" s="39" t="inlineStr">
        <is>
          <t>06.21</t>
        </is>
      </c>
      <c r="B24" s="7" t="inlineStr">
        <is>
          <t>Duvar tipi inverter split klima 18.000 BTU (iç + dış ünite)</t>
        </is>
      </c>
      <c r="C24" s="9" t="inlineStr">
        <is>
          <t>adet</t>
        </is>
      </c>
      <c r="D24" s="55" t="n">
        <v>1</v>
      </c>
      <c r="E24" s="44" t="n"/>
      <c r="F24" s="46">
        <f>D24*E24</f>
        <v/>
      </c>
      <c r="G24" s="56" t="n">
        <v>27000</v>
      </c>
      <c r="H24" s="56" t="n">
        <v>44000</v>
      </c>
    </row>
    <row r="25" ht="26" customHeight="1">
      <c r="A25" s="47" t="inlineStr">
        <is>
          <t>06.22</t>
        </is>
      </c>
      <c r="B25" s="48" t="inlineStr">
        <is>
          <t>Duvar tipi inverter split klima 12.000 BTU (iç + dış ünite)</t>
        </is>
      </c>
      <c r="C25" s="51" t="inlineStr">
        <is>
          <t>adet</t>
        </is>
      </c>
      <c r="D25" s="59" t="n">
        <v>2</v>
      </c>
      <c r="E25" s="44" t="n"/>
      <c r="F25" s="54">
        <f>D25*E25</f>
        <v/>
      </c>
      <c r="G25" s="60" t="n">
        <v>39000</v>
      </c>
      <c r="H25" s="60" t="n">
        <v>64000</v>
      </c>
    </row>
    <row r="26" ht="26" customHeight="1">
      <c r="A26" s="39" t="inlineStr">
        <is>
          <t>06.23</t>
        </is>
      </c>
      <c r="B26" s="7" t="inlineStr">
        <is>
          <t>Bakır boru seti (1/4"–5/8") + izolasyon + bağlantı kablosu</t>
        </is>
      </c>
      <c r="C26" s="9" t="inlineStr">
        <is>
          <t>m</t>
        </is>
      </c>
      <c r="D26" s="55" t="n">
        <v>35.8</v>
      </c>
      <c r="E26" s="44" t="n"/>
      <c r="F26" s="46">
        <f>D26*E26</f>
        <v/>
      </c>
      <c r="G26" s="56" t="n">
        <v>39380</v>
      </c>
      <c r="H26" s="56" t="n">
        <v>66230</v>
      </c>
    </row>
    <row r="27" ht="26" customHeight="1">
      <c r="A27" s="47" t="inlineStr">
        <is>
          <t>06.24</t>
        </is>
      </c>
      <c r="B27" s="48" t="inlineStr">
        <is>
          <t>Dış ünite galvaniz montaj konsolu ve titreşim takozu</t>
        </is>
      </c>
      <c r="C27" s="51" t="inlineStr">
        <is>
          <t>adet</t>
        </is>
      </c>
      <c r="D27" s="59" t="n">
        <v>4</v>
      </c>
      <c r="E27" s="44" t="n"/>
      <c r="F27" s="54">
        <f>D27*E27</f>
        <v/>
      </c>
      <c r="G27" s="60" t="n">
        <v>15200</v>
      </c>
      <c r="H27" s="60" t="n">
        <v>24800</v>
      </c>
    </row>
    <row r="28" ht="26" customHeight="1">
      <c r="A28" s="39" t="inlineStr">
        <is>
          <t>06.25</t>
        </is>
      </c>
      <c r="B28" s="7" t="inlineStr">
        <is>
          <t>Drenaj hattı PPRC Ø25 + izolasyon</t>
        </is>
      </c>
      <c r="C28" s="9" t="inlineStr">
        <is>
          <t>m</t>
        </is>
      </c>
      <c r="D28" s="55" t="n">
        <v>34.2</v>
      </c>
      <c r="E28" s="44" t="n"/>
      <c r="F28" s="46">
        <f>D28*E28</f>
        <v/>
      </c>
      <c r="G28" s="56" t="n">
        <v>14364</v>
      </c>
      <c r="H28" s="56" t="n">
        <v>24624</v>
      </c>
    </row>
    <row r="29" ht="26" customHeight="1">
      <c r="A29" s="47" t="inlineStr">
        <is>
          <t>06.26</t>
        </is>
      </c>
      <c r="B29" s="48" t="inlineStr">
        <is>
          <t>Vakum, gaz şarjı, devreye alma ve test</t>
        </is>
      </c>
      <c r="C29" s="51" t="inlineStr">
        <is>
          <t>adet</t>
        </is>
      </c>
      <c r="D29" s="59" t="n">
        <v>4</v>
      </c>
      <c r="E29" s="44" t="n"/>
      <c r="F29" s="54">
        <f>D29*E29</f>
        <v/>
      </c>
      <c r="G29" s="60" t="n">
        <v>12800</v>
      </c>
      <c r="H29" s="60" t="n">
        <v>21600</v>
      </c>
    </row>
    <row r="30" ht="26" customHeight="1">
      <c r="A30" s="39" t="inlineStr">
        <is>
          <t>06.30</t>
        </is>
      </c>
      <c r="B30" s="7" t="inlineStr">
        <is>
          <t>PPRC temiz su borusu Ø25 (ek parça ve montaj dahil)</t>
        </is>
      </c>
      <c r="C30" s="9" t="inlineStr">
        <is>
          <t>m</t>
        </is>
      </c>
      <c r="D30" s="55" t="n">
        <v>6.9</v>
      </c>
      <c r="E30" s="44" t="n"/>
      <c r="F30" s="46">
        <f>D30*E30</f>
        <v/>
      </c>
      <c r="G30" s="56" t="n">
        <v>4278</v>
      </c>
      <c r="H30" s="56" t="n">
        <v>7245</v>
      </c>
    </row>
    <row r="31" ht="26" customHeight="1">
      <c r="A31" s="47" t="inlineStr">
        <is>
          <t>06.31</t>
        </is>
      </c>
      <c r="B31" s="48" t="inlineStr">
        <is>
          <t>PPRC temiz su borusu Ø20 (ek parça ve montaj dahil)</t>
        </is>
      </c>
      <c r="C31" s="51" t="inlineStr">
        <is>
          <t>m</t>
        </is>
      </c>
      <c r="D31" s="59" t="n">
        <v>3.1</v>
      </c>
      <c r="E31" s="44" t="n"/>
      <c r="F31" s="54">
        <f>D31*E31</f>
        <v/>
      </c>
      <c r="G31" s="60" t="n">
        <v>1612</v>
      </c>
      <c r="H31" s="60" t="n">
        <v>2728</v>
      </c>
    </row>
    <row r="32" ht="26" customHeight="1">
      <c r="A32" s="39" t="inlineStr">
        <is>
          <t>06.32</t>
        </is>
      </c>
      <c r="B32" s="7" t="inlineStr">
        <is>
          <t>PPRC sıcak su hattı Ø20 + boru izolasyonu</t>
        </is>
      </c>
      <c r="C32" s="9" t="inlineStr">
        <is>
          <t>m</t>
        </is>
      </c>
      <c r="D32" s="55" t="n">
        <v>4.2</v>
      </c>
      <c r="E32" s="44" t="n"/>
      <c r="F32" s="46">
        <f>D32*E32</f>
        <v/>
      </c>
      <c r="G32" s="56" t="n">
        <v>2856</v>
      </c>
      <c r="H32" s="56" t="n">
        <v>4830</v>
      </c>
    </row>
    <row r="33" ht="26" customHeight="1">
      <c r="A33" s="47" t="inlineStr">
        <is>
          <t>06.33</t>
        </is>
      </c>
      <c r="B33" s="48" t="inlineStr">
        <is>
          <t>PVC pis su borusu Ø100 (%2 eğimli, askılı)</t>
        </is>
      </c>
      <c r="C33" s="51" t="inlineStr">
        <is>
          <t>m</t>
        </is>
      </c>
      <c r="D33" s="59" t="n">
        <v>7.4</v>
      </c>
      <c r="E33" s="44" t="n"/>
      <c r="F33" s="54">
        <f>D33*E33</f>
        <v/>
      </c>
      <c r="G33" s="60" t="n">
        <v>5772</v>
      </c>
      <c r="H33" s="60" t="n">
        <v>9620</v>
      </c>
    </row>
    <row r="34" ht="26" customHeight="1">
      <c r="A34" s="39" t="inlineStr">
        <is>
          <t>06.34</t>
        </is>
      </c>
      <c r="B34" s="7" t="inlineStr">
        <is>
          <t>PVC pis su borusu Ø70</t>
        </is>
      </c>
      <c r="C34" s="9" t="inlineStr">
        <is>
          <t>m</t>
        </is>
      </c>
      <c r="D34" s="55" t="n">
        <v>0.3</v>
      </c>
      <c r="E34" s="44" t="n"/>
      <c r="F34" s="46">
        <f>D34*E34</f>
        <v/>
      </c>
      <c r="G34" s="56" t="n">
        <v>168</v>
      </c>
      <c r="H34" s="56" t="n">
        <v>285</v>
      </c>
    </row>
    <row r="35" ht="26" customHeight="1">
      <c r="A35" s="47" t="inlineStr">
        <is>
          <t>06.35</t>
        </is>
      </c>
      <c r="B35" s="48" t="inlineStr">
        <is>
          <t>PVC pis su borusu Ø50</t>
        </is>
      </c>
      <c r="C35" s="51" t="inlineStr">
        <is>
          <t>m</t>
        </is>
      </c>
      <c r="D35" s="59" t="n">
        <v>4.3</v>
      </c>
      <c r="E35" s="44" t="n"/>
      <c r="F35" s="54">
        <f>D35*E35</f>
        <v/>
      </c>
      <c r="G35" s="60" t="n">
        <v>1849</v>
      </c>
      <c r="H35" s="60" t="n">
        <v>3182</v>
      </c>
    </row>
    <row r="36" ht="26" customHeight="1">
      <c r="A36" s="39" t="inlineStr">
        <is>
          <t>06.36</t>
        </is>
      </c>
      <c r="B36" s="7" t="inlineStr">
        <is>
          <t>Pis su havalandırma bacası Ø70 — çatı kotuna kadar</t>
        </is>
      </c>
      <c r="C36" s="9" t="inlineStr">
        <is>
          <t>m</t>
        </is>
      </c>
      <c r="D36" s="55" t="n">
        <v>9.5</v>
      </c>
      <c r="E36" s="44" t="n"/>
      <c r="F36" s="46">
        <f>D36*E36</f>
        <v/>
      </c>
      <c r="G36" s="56" t="n">
        <v>5890</v>
      </c>
      <c r="H36" s="56" t="n">
        <v>9975</v>
      </c>
    </row>
    <row r="37" ht="26" customHeight="1">
      <c r="A37" s="47" t="inlineStr">
        <is>
          <t>06.37</t>
        </is>
      </c>
      <c r="B37" s="48" t="inlineStr">
        <is>
          <t>Paslanmaz sifonlu yer süzgeci 15×15</t>
        </is>
      </c>
      <c r="C37" s="51" t="inlineStr">
        <is>
          <t>adet</t>
        </is>
      </c>
      <c r="D37" s="59" t="n">
        <v>4</v>
      </c>
      <c r="E37" s="44" t="n"/>
      <c r="F37" s="54">
        <f>D37*E37</f>
        <v/>
      </c>
      <c r="G37" s="60" t="n">
        <v>5800</v>
      </c>
      <c r="H37" s="60" t="n">
        <v>9600</v>
      </c>
    </row>
    <row r="38" ht="26" customHeight="1">
      <c r="A38" s="39" t="inlineStr">
        <is>
          <t>06.38</t>
        </is>
      </c>
      <c r="B38" s="7" t="inlineStr">
        <is>
          <t>Küresel vana Ø25 / Ø20 (kolon ve branşman kesme)</t>
        </is>
      </c>
      <c r="C38" s="9" t="inlineStr">
        <is>
          <t>adet</t>
        </is>
      </c>
      <c r="D38" s="55" t="n">
        <v>8</v>
      </c>
      <c r="E38" s="44" t="n"/>
      <c r="F38" s="46">
        <f>D38*E38</f>
        <v/>
      </c>
      <c r="G38" s="56" t="n">
        <v>6240</v>
      </c>
      <c r="H38" s="56" t="n">
        <v>10400</v>
      </c>
    </row>
    <row r="39" ht="26" customHeight="1">
      <c r="A39" s="47" t="inlineStr">
        <is>
          <t>06.39</t>
        </is>
      </c>
      <c r="B39" s="48" t="inlineStr">
        <is>
          <t>Sayaç sonrası ana kesme vanası + pislik tutucu filtre</t>
        </is>
      </c>
      <c r="C39" s="51" t="inlineStr">
        <is>
          <t>takım</t>
        </is>
      </c>
      <c r="D39" s="59" t="n">
        <v>1</v>
      </c>
      <c r="E39" s="44" t="n"/>
      <c r="F39" s="54">
        <f>D39*E39</f>
        <v/>
      </c>
      <c r="G39" s="60" t="n">
        <v>6500</v>
      </c>
      <c r="H39" s="60" t="n">
        <v>11000</v>
      </c>
    </row>
    <row r="40" ht="26" customHeight="1">
      <c r="A40" s="39" t="inlineStr">
        <is>
          <t>06.40</t>
        </is>
      </c>
      <c r="B40" s="7" t="inlineStr">
        <is>
          <t>Depolu elektrikli boyler 100 L / 3 kW, emaye kaplı, magnezyum anotlu (blok başına)</t>
        </is>
      </c>
      <c r="C40" s="9" t="inlineStr">
        <is>
          <t>adet</t>
        </is>
      </c>
      <c r="D40" s="55" t="n">
        <v>2</v>
      </c>
      <c r="E40" s="44" t="n"/>
      <c r="F40" s="46">
        <f>D40*E40</f>
        <v/>
      </c>
      <c r="G40" s="56" t="n">
        <v>23000</v>
      </c>
      <c r="H40" s="56" t="n">
        <v>39000</v>
      </c>
    </row>
    <row r="41" ht="26" customHeight="1">
      <c r="A41" s="47" t="inlineStr">
        <is>
          <t>06.41</t>
        </is>
      </c>
      <c r="B41" s="48" t="inlineStr">
        <is>
          <t>Tesisat basınç testi, dezenfeksiyon ve teslim raporu</t>
        </is>
      </c>
      <c r="C41" s="51" t="inlineStr">
        <is>
          <t>götürü</t>
        </is>
      </c>
      <c r="D41" s="59" t="n">
        <v>1</v>
      </c>
      <c r="E41" s="44" t="n"/>
      <c r="F41" s="54">
        <f>D41*E41</f>
        <v/>
      </c>
      <c r="G41" s="60" t="n">
        <v>9500</v>
      </c>
      <c r="H41" s="60" t="n">
        <v>17000</v>
      </c>
    </row>
    <row r="42">
      <c r="A42" s="29" t="inlineStr">
        <is>
          <t>TOPLAM (KDV hariç)</t>
        </is>
      </c>
      <c r="F42" s="30">
        <f>SUM(F5:F41)</f>
        <v/>
      </c>
      <c r="G42" s="30">
        <f>SUM(G5:G41)</f>
        <v/>
      </c>
      <c r="H42" s="30">
        <f>SUM(H5:H41)</f>
        <v/>
      </c>
    </row>
  </sheetData>
  <mergeCells count="3">
    <mergeCell ref="A42:E42"/>
    <mergeCell ref="A2:H2"/>
    <mergeCell ref="A1:H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4" customWidth="1" min="2" max="2"/>
    <col width="9" customWidth="1" min="3" max="3"/>
    <col width="11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 ht="24" customHeight="1">
      <c r="A1" s="1" t="inlineStr">
        <is>
          <t>ELEKTRİK KEŞİF  ·  KEŞİF ÖZETİ</t>
        </is>
      </c>
    </row>
    <row r="2" ht="15" customHeight="1">
      <c r="A2" s="11" t="inlineStr">
        <is>
          <t>MALTEPE / İDEALTEPE — MOBİLYA MAĞAZASI → FONKSİYONEL ANTRENMAN STÜDYOSU · Rev G · KDV hariç TL · sarı hücre teklif verence doldurulur</t>
        </is>
      </c>
    </row>
    <row r="3">
      <c r="H3" s="63">
        <f>F41</f>
        <v/>
      </c>
    </row>
    <row r="4" ht="32" customHeight="1">
      <c r="A4" s="12" t="inlineStr">
        <is>
          <t>POZ NO</t>
        </is>
      </c>
      <c r="B4" s="12" t="inlineStr">
        <is>
          <t>YAPILACAK İŞİN CİNSİ</t>
        </is>
      </c>
      <c r="C4" s="12" t="inlineStr">
        <is>
          <t>BİRİM</t>
        </is>
      </c>
      <c r="D4" s="12" t="inlineStr">
        <is>
          <t>MİKTAR</t>
        </is>
      </c>
      <c r="E4" s="12" t="inlineStr">
        <is>
          <t>BİRİM FİYAT
(teklif)</t>
        </is>
      </c>
      <c r="F4" s="12" t="inlineStr">
        <is>
          <t>TUTAR
(teklif)</t>
        </is>
      </c>
      <c r="G4" s="12" t="inlineStr">
        <is>
          <t>BÜTÇE DÜŞÜK</t>
        </is>
      </c>
      <c r="H4" s="12" t="inlineStr">
        <is>
          <t>BÜTÇE YÜKSEK</t>
        </is>
      </c>
    </row>
    <row r="5" ht="26" customHeight="1">
      <c r="A5" s="47" t="inlineStr">
        <is>
          <t>05.01</t>
        </is>
      </c>
      <c r="B5" s="48" t="inlineStr">
        <is>
          <t>Ana dağıtım panosu — sıva üstü metal, 36 modül, montajlı</t>
        </is>
      </c>
      <c r="C5" s="51" t="inlineStr">
        <is>
          <t>adet</t>
        </is>
      </c>
      <c r="D5" s="59" t="n">
        <v>1</v>
      </c>
      <c r="E5" s="44" t="n"/>
      <c r="F5" s="54">
        <f>D5*E5</f>
        <v/>
      </c>
      <c r="G5" s="60" t="n">
        <v>22000</v>
      </c>
      <c r="H5" s="60" t="n">
        <v>37000</v>
      </c>
    </row>
    <row r="6" ht="26" customHeight="1">
      <c r="A6" s="39" t="inlineStr">
        <is>
          <t>05.02</t>
        </is>
      </c>
      <c r="B6" s="7" t="inlineStr">
        <is>
          <t>Ana kesici 3×40 A, C eğrisi</t>
        </is>
      </c>
      <c r="C6" s="9" t="inlineStr">
        <is>
          <t>adet</t>
        </is>
      </c>
      <c r="D6" s="55" t="n">
        <v>1</v>
      </c>
      <c r="E6" s="44" t="n"/>
      <c r="F6" s="46">
        <f>D6*E6</f>
        <v/>
      </c>
      <c r="G6" s="56" t="n">
        <v>3200</v>
      </c>
      <c r="H6" s="56" t="n">
        <v>5400</v>
      </c>
    </row>
    <row r="7" ht="26" customHeight="1">
      <c r="A7" s="47" t="inlineStr">
        <is>
          <t>05.03</t>
        </is>
      </c>
      <c r="B7" s="48" t="inlineStr">
        <is>
          <t>Kaçak akım rölesi 4×40 A / 30 mA (genel + ıslak hacim ayrı)</t>
        </is>
      </c>
      <c r="C7" s="51" t="inlineStr">
        <is>
          <t>adet</t>
        </is>
      </c>
      <c r="D7" s="59" t="n">
        <v>2</v>
      </c>
      <c r="E7" s="44" t="n"/>
      <c r="F7" s="54">
        <f>D7*E7</f>
        <v/>
      </c>
      <c r="G7" s="60" t="n">
        <v>8400</v>
      </c>
      <c r="H7" s="60" t="n">
        <v>14000</v>
      </c>
    </row>
    <row r="8" ht="26" customHeight="1">
      <c r="A8" s="39" t="inlineStr">
        <is>
          <t>05.04</t>
        </is>
      </c>
      <c r="B8" s="7" t="inlineStr">
        <is>
          <t>Otomatik sigorta (1×6 / 1×10 / 1×16 / 1×32 A)</t>
        </is>
      </c>
      <c r="C8" s="9" t="inlineStr">
        <is>
          <t>adet</t>
        </is>
      </c>
      <c r="D8" s="55" t="n">
        <v>22</v>
      </c>
      <c r="E8" s="44" t="n"/>
      <c r="F8" s="46">
        <f>D8*E8</f>
        <v/>
      </c>
      <c r="G8" s="56" t="n">
        <v>13640</v>
      </c>
      <c r="H8" s="56" t="n">
        <v>23100</v>
      </c>
    </row>
    <row r="9" ht="26" customHeight="1">
      <c r="A9" s="47" t="inlineStr">
        <is>
          <t>05.05</t>
        </is>
      </c>
      <c r="B9" s="48" t="inlineStr">
        <is>
          <t>Parafudr Tip 2 (aşırı gerilim koruma)</t>
        </is>
      </c>
      <c r="C9" s="51" t="inlineStr">
        <is>
          <t>adet</t>
        </is>
      </c>
      <c r="D9" s="59" t="n">
        <v>1</v>
      </c>
      <c r="E9" s="44" t="n"/>
      <c r="F9" s="54">
        <f>D9*E9</f>
        <v/>
      </c>
      <c r="G9" s="60" t="n">
        <v>6800</v>
      </c>
      <c r="H9" s="60" t="n">
        <v>11500</v>
      </c>
    </row>
    <row r="10" ht="26" customHeight="1">
      <c r="A10" s="39" t="inlineStr">
        <is>
          <t>05.06</t>
        </is>
      </c>
      <c r="B10" s="7" t="inlineStr">
        <is>
          <t>NYY kolon hattı 5×10 mm² — sayaçtan panoya</t>
        </is>
      </c>
      <c r="C10" s="9" t="inlineStr">
        <is>
          <t>m</t>
        </is>
      </c>
      <c r="D10" s="55" t="n">
        <v>22</v>
      </c>
      <c r="E10" s="44" t="n"/>
      <c r="F10" s="46">
        <f>D10*E10</f>
        <v/>
      </c>
      <c r="G10" s="56" t="n">
        <v>17160</v>
      </c>
      <c r="H10" s="56" t="n">
        <v>28600</v>
      </c>
    </row>
    <row r="11" ht="26" customHeight="1">
      <c r="A11" s="47" t="inlineStr">
        <is>
          <t>05.07</t>
        </is>
      </c>
      <c r="B11" s="48" t="inlineStr">
        <is>
          <t>Pano etiketleme, tek hat şeması çerçevesi ve fonksiyon testi</t>
        </is>
      </c>
      <c r="C11" s="51" t="inlineStr">
        <is>
          <t>götürü</t>
        </is>
      </c>
      <c r="D11" s="59" t="n">
        <v>1</v>
      </c>
      <c r="E11" s="44" t="n"/>
      <c r="F11" s="54">
        <f>D11*E11</f>
        <v/>
      </c>
      <c r="G11" s="60" t="n">
        <v>6500</v>
      </c>
      <c r="H11" s="60" t="n">
        <v>11000</v>
      </c>
    </row>
    <row r="12" ht="26" customHeight="1">
      <c r="A12" s="39" t="inlineStr">
        <is>
          <t>05.10</t>
        </is>
      </c>
      <c r="B12" s="7" t="inlineStr">
        <is>
          <t>Lineer LED armatür 40 W / 4400 lm, 1.200 mm (montaj dahil)</t>
        </is>
      </c>
      <c r="C12" s="9" t="inlineStr">
        <is>
          <t>adet</t>
        </is>
      </c>
      <c r="D12" s="55" t="n">
        <v>15</v>
      </c>
      <c r="E12" s="44" t="n"/>
      <c r="F12" s="46">
        <f>D12*E12</f>
        <v/>
      </c>
      <c r="G12" s="56" t="n">
        <v>21000</v>
      </c>
      <c r="H12" s="56" t="n">
        <v>39000</v>
      </c>
    </row>
    <row r="13" ht="26" customHeight="1">
      <c r="A13" s="47" t="inlineStr">
        <is>
          <t>05.11</t>
        </is>
      </c>
      <c r="B13" s="48" t="inlineStr">
        <is>
          <t>IP44 downlight 18 W / 1800 lm — ıslak hacim ve soyunma</t>
        </is>
      </c>
      <c r="C13" s="51" t="inlineStr">
        <is>
          <t>adet</t>
        </is>
      </c>
      <c r="D13" s="59" t="n">
        <v>6</v>
      </c>
      <c r="E13" s="44" t="n"/>
      <c r="F13" s="54">
        <f>D13*E13</f>
        <v/>
      </c>
      <c r="G13" s="60" t="n">
        <v>5100</v>
      </c>
      <c r="H13" s="60" t="n">
        <v>9300</v>
      </c>
    </row>
    <row r="14" ht="26" customHeight="1">
      <c r="A14" s="39" t="inlineStr">
        <is>
          <t>05.12</t>
        </is>
      </c>
      <c r="B14" s="7" t="inlineStr">
        <is>
          <t>Acil aydınlatma armatürü — 3 saat bataryalı</t>
        </is>
      </c>
      <c r="C14" s="9" t="inlineStr">
        <is>
          <t>adet</t>
        </is>
      </c>
      <c r="D14" s="55" t="n">
        <v>5</v>
      </c>
      <c r="E14" s="44" t="n"/>
      <c r="F14" s="46">
        <f>D14*E14</f>
        <v/>
      </c>
      <c r="G14" s="56" t="n">
        <v>6250</v>
      </c>
      <c r="H14" s="56" t="n">
        <v>11000</v>
      </c>
    </row>
    <row r="15" ht="26" customHeight="1">
      <c r="A15" s="47" t="inlineStr">
        <is>
          <t>05.13</t>
        </is>
      </c>
      <c r="B15" s="48" t="inlineStr">
        <is>
          <t>Acil çıkış yönlendirme armatürü</t>
        </is>
      </c>
      <c r="C15" s="51" t="inlineStr">
        <is>
          <t>adet</t>
        </is>
      </c>
      <c r="D15" s="59" t="n">
        <v>3</v>
      </c>
      <c r="E15" s="44" t="n"/>
      <c r="F15" s="54">
        <f>D15*E15</f>
        <v/>
      </c>
      <c r="G15" s="60" t="n">
        <v>3450</v>
      </c>
      <c r="H15" s="60" t="n">
        <v>5850</v>
      </c>
    </row>
    <row r="16" ht="26" customHeight="1">
      <c r="A16" s="39" t="inlineStr">
        <is>
          <t>05.14</t>
        </is>
      </c>
      <c r="B16" s="7" t="inlineStr">
        <is>
          <t>Aydınlatma linyesi NHXMH 3×1,5 mm² — spiral boru ve işçilik dâhil</t>
        </is>
      </c>
      <c r="C16" s="9" t="inlineStr">
        <is>
          <t>m</t>
        </is>
      </c>
      <c r="D16" s="55" t="n">
        <v>42</v>
      </c>
      <c r="E16" s="44" t="n"/>
      <c r="F16" s="46">
        <f>D16*E16</f>
        <v/>
      </c>
      <c r="G16" s="56" t="n">
        <v>4620</v>
      </c>
      <c r="H16" s="56" t="n">
        <v>7770</v>
      </c>
    </row>
    <row r="17" ht="26" customHeight="1">
      <c r="A17" s="47" t="inlineStr">
        <is>
          <t>05.15</t>
        </is>
      </c>
      <c r="B17" s="48" t="inlineStr">
        <is>
          <t>Anahtar / komütatör / vaviyen — sıva altı</t>
        </is>
      </c>
      <c r="C17" s="51" t="inlineStr">
        <is>
          <t>adet</t>
        </is>
      </c>
      <c r="D17" s="59" t="n">
        <v>7</v>
      </c>
      <c r="E17" s="44" t="n"/>
      <c r="F17" s="54">
        <f>D17*E17</f>
        <v/>
      </c>
      <c r="G17" s="60" t="n">
        <v>3360</v>
      </c>
      <c r="H17" s="60" t="n">
        <v>5740</v>
      </c>
    </row>
    <row r="18" ht="26" customHeight="1">
      <c r="A18" s="39" t="inlineStr">
        <is>
          <t>05.16</t>
        </is>
      </c>
      <c r="B18" s="7" t="inlineStr">
        <is>
          <t>Hareket sensörü — ıslak hacim ve geçiş</t>
        </is>
      </c>
      <c r="C18" s="9" t="inlineStr">
        <is>
          <t>adet</t>
        </is>
      </c>
      <c r="D18" s="55" t="n">
        <v>3</v>
      </c>
      <c r="E18" s="44" t="n"/>
      <c r="F18" s="46">
        <f>D18*E18</f>
        <v/>
      </c>
      <c r="G18" s="56" t="n">
        <v>4350</v>
      </c>
      <c r="H18" s="56" t="n">
        <v>7200</v>
      </c>
    </row>
    <row r="19" ht="26" customHeight="1">
      <c r="A19" s="47" t="inlineStr">
        <is>
          <t>05.20</t>
        </is>
      </c>
      <c r="B19" s="48" t="inlineStr">
        <is>
          <t>İkili topraklı priz — sıva altı, komple</t>
        </is>
      </c>
      <c r="C19" s="51" t="inlineStr">
        <is>
          <t>adet</t>
        </is>
      </c>
      <c r="D19" s="59" t="n">
        <v>20</v>
      </c>
      <c r="E19" s="44" t="n"/>
      <c r="F19" s="54">
        <f>D19*E19</f>
        <v/>
      </c>
      <c r="G19" s="60" t="n">
        <v>12400</v>
      </c>
      <c r="H19" s="60" t="n">
        <v>21000</v>
      </c>
    </row>
    <row r="20" ht="26" customHeight="1">
      <c r="A20" s="39" t="inlineStr">
        <is>
          <t>05.21</t>
        </is>
      </c>
      <c r="B20" s="7" t="inlineStr">
        <is>
          <t>IP44 priz — ıslak hacim</t>
        </is>
      </c>
      <c r="C20" s="9" t="inlineStr">
        <is>
          <t>adet</t>
        </is>
      </c>
      <c r="D20" s="55" t="n">
        <v>2</v>
      </c>
      <c r="E20" s="44" t="n"/>
      <c r="F20" s="46">
        <f>D20*E20</f>
        <v/>
      </c>
      <c r="G20" s="56" t="n">
        <v>1900</v>
      </c>
      <c r="H20" s="56" t="n">
        <v>3200</v>
      </c>
    </row>
    <row r="21" ht="26" customHeight="1">
      <c r="A21" s="47" t="inlineStr">
        <is>
          <t>05.22</t>
        </is>
      </c>
      <c r="B21" s="48" t="inlineStr">
        <is>
          <t>Priz linyesi NHXMH 3×2,5 mm² — spiral boru ve işçilik dâhil</t>
        </is>
      </c>
      <c r="C21" s="51" t="inlineStr">
        <is>
          <t>m</t>
        </is>
      </c>
      <c r="D21" s="59" t="n">
        <v>391</v>
      </c>
      <c r="E21" s="44" t="n"/>
      <c r="F21" s="54">
        <f>D21*E21</f>
        <v/>
      </c>
      <c r="G21" s="60" t="n">
        <v>54740</v>
      </c>
      <c r="H21" s="60" t="n">
        <v>89930</v>
      </c>
    </row>
    <row r="22" ht="26" customHeight="1">
      <c r="A22" s="39" t="inlineStr">
        <is>
          <t>05.23</t>
        </is>
      </c>
      <c r="B22" s="7" t="inlineStr">
        <is>
          <t>Klima besleme hattı 3×2,5 mm² + hat sonu kesici</t>
        </is>
      </c>
      <c r="C22" s="9" t="inlineStr">
        <is>
          <t>adet</t>
        </is>
      </c>
      <c r="D22" s="55" t="n">
        <v>4</v>
      </c>
      <c r="E22" s="44" t="n"/>
      <c r="F22" s="46">
        <f>D22*E22</f>
        <v/>
      </c>
      <c r="G22" s="56" t="n">
        <v>13600</v>
      </c>
      <c r="H22" s="56" t="n">
        <v>22800</v>
      </c>
    </row>
    <row r="23" ht="26" customHeight="1">
      <c r="A23" s="47" t="inlineStr">
        <is>
          <t>05.24</t>
        </is>
      </c>
      <c r="B23" s="48" t="inlineStr">
        <is>
          <t>Boyler besleme hattı 3×2,5 mm² + 20 A kesici + 30 mA kaçak akım</t>
        </is>
      </c>
      <c r="C23" s="51" t="inlineStr">
        <is>
          <t>adet</t>
        </is>
      </c>
      <c r="D23" s="59" t="n">
        <v>2</v>
      </c>
      <c r="E23" s="44" t="n"/>
      <c r="F23" s="54">
        <f>D23*E23</f>
        <v/>
      </c>
      <c r="G23" s="60" t="n">
        <v>8400</v>
      </c>
      <c r="H23" s="60" t="n">
        <v>14600</v>
      </c>
    </row>
    <row r="24" ht="26" customHeight="1">
      <c r="A24" s="39" t="inlineStr">
        <is>
          <t>05.25</t>
        </is>
      </c>
      <c r="B24" s="7" t="inlineStr">
        <is>
          <t>Havalandırma fanı besleme ve hız kontrol hattı</t>
        </is>
      </c>
      <c r="C24" s="9" t="inlineStr">
        <is>
          <t>adet</t>
        </is>
      </c>
      <c r="D24" s="55" t="n">
        <v>3</v>
      </c>
      <c r="E24" s="44" t="n"/>
      <c r="F24" s="46">
        <f>D24*E24</f>
        <v/>
      </c>
      <c r="G24" s="56" t="n">
        <v>7200</v>
      </c>
      <c r="H24" s="56" t="n">
        <v>12000</v>
      </c>
    </row>
    <row r="25" ht="26" customHeight="1">
      <c r="A25" s="47" t="inlineStr">
        <is>
          <t>05.26</t>
        </is>
      </c>
      <c r="B25" s="48" t="inlineStr">
        <is>
          <t>Banko kuvvet + veri kutusu (gömme)</t>
        </is>
      </c>
      <c r="C25" s="51" t="inlineStr">
        <is>
          <t>adet</t>
        </is>
      </c>
      <c r="D25" s="59" t="n">
        <v>1</v>
      </c>
      <c r="E25" s="44" t="n"/>
      <c r="F25" s="54">
        <f>D25*E25</f>
        <v/>
      </c>
      <c r="G25" s="60" t="n">
        <v>7500</v>
      </c>
      <c r="H25" s="60" t="n">
        <v>12500</v>
      </c>
    </row>
    <row r="26" ht="26" customHeight="1">
      <c r="A26" s="39" t="inlineStr">
        <is>
          <t>05.30</t>
        </is>
      </c>
      <c r="B26" s="7" t="inlineStr">
        <is>
          <t>Cat6 veri prizi + kablolama</t>
        </is>
      </c>
      <c r="C26" s="9" t="inlineStr">
        <is>
          <t>adet</t>
        </is>
      </c>
      <c r="D26" s="55" t="n">
        <v>6</v>
      </c>
      <c r="E26" s="44" t="n"/>
      <c r="F26" s="46">
        <f>D26*E26</f>
        <v/>
      </c>
      <c r="G26" s="56" t="n">
        <v>8700</v>
      </c>
      <c r="H26" s="56" t="n">
        <v>14700</v>
      </c>
    </row>
    <row r="27" ht="26" customHeight="1">
      <c r="A27" s="47" t="inlineStr">
        <is>
          <t>05.31</t>
        </is>
      </c>
      <c r="B27" s="48" t="inlineStr">
        <is>
          <t>Kablosuz erişim noktası (AP) + PoE besleme</t>
        </is>
      </c>
      <c r="C27" s="51" t="inlineStr">
        <is>
          <t>adet</t>
        </is>
      </c>
      <c r="D27" s="59" t="n">
        <v>2</v>
      </c>
      <c r="E27" s="44" t="n"/>
      <c r="F27" s="54">
        <f>D27*E27</f>
        <v/>
      </c>
      <c r="G27" s="60" t="n">
        <v>13600</v>
      </c>
      <c r="H27" s="60" t="n">
        <v>23000</v>
      </c>
    </row>
    <row r="28" ht="26" customHeight="1">
      <c r="A28" s="39" t="inlineStr">
        <is>
          <t>05.32</t>
        </is>
      </c>
      <c r="B28" s="7" t="inlineStr">
        <is>
          <t>IP güvenlik kamerası — iç mekân (soyunma ve WC HARİÇ)</t>
        </is>
      </c>
      <c r="C28" s="9" t="inlineStr">
        <is>
          <t>adet</t>
        </is>
      </c>
      <c r="D28" s="55" t="n">
        <v>5</v>
      </c>
      <c r="E28" s="44" t="n"/>
      <c r="F28" s="46">
        <f>D28*E28</f>
        <v/>
      </c>
      <c r="G28" s="56" t="n">
        <v>27000</v>
      </c>
      <c r="H28" s="56" t="n">
        <v>45000</v>
      </c>
    </row>
    <row r="29" ht="26" customHeight="1">
      <c r="A29" s="47" t="inlineStr">
        <is>
          <t>05.33</t>
        </is>
      </c>
      <c r="B29" s="48" t="inlineStr">
        <is>
          <t>NVR + 4 TB disk + 9U rack kabinet</t>
        </is>
      </c>
      <c r="C29" s="51" t="inlineStr">
        <is>
          <t>takım</t>
        </is>
      </c>
      <c r="D29" s="59" t="n">
        <v>1</v>
      </c>
      <c r="E29" s="44" t="n"/>
      <c r="F29" s="54">
        <f>D29*E29</f>
        <v/>
      </c>
      <c r="G29" s="60" t="n">
        <v>24000</v>
      </c>
      <c r="H29" s="60" t="n">
        <v>40000</v>
      </c>
    </row>
    <row r="30" ht="26" customHeight="1">
      <c r="A30" s="39" t="inlineStr">
        <is>
          <t>05.34</t>
        </is>
      </c>
      <c r="B30" s="7" t="inlineStr">
        <is>
          <t>Tavan hoparlörü 6 W / 100 V hat</t>
        </is>
      </c>
      <c r="C30" s="9" t="inlineStr">
        <is>
          <t>adet</t>
        </is>
      </c>
      <c r="D30" s="55" t="n">
        <v>6</v>
      </c>
      <c r="E30" s="44" t="n"/>
      <c r="F30" s="46">
        <f>D30*E30</f>
        <v/>
      </c>
      <c r="G30" s="56" t="n">
        <v>9900</v>
      </c>
      <c r="H30" s="56" t="n">
        <v>16800</v>
      </c>
    </row>
    <row r="31" ht="26" customHeight="1">
      <c r="A31" s="47" t="inlineStr">
        <is>
          <t>05.35</t>
        </is>
      </c>
      <c r="B31" s="48" t="inlineStr">
        <is>
          <t>Anfi / ses matrisi 120 W + kaynak</t>
        </is>
      </c>
      <c r="C31" s="51" t="inlineStr">
        <is>
          <t>takım</t>
        </is>
      </c>
      <c r="D31" s="59" t="n">
        <v>1</v>
      </c>
      <c r="E31" s="44" t="n"/>
      <c r="F31" s="54">
        <f>D31*E31</f>
        <v/>
      </c>
      <c r="G31" s="60" t="n">
        <v>14000</v>
      </c>
      <c r="H31" s="60" t="n">
        <v>24000</v>
      </c>
    </row>
    <row r="32" ht="26" customHeight="1">
      <c r="A32" s="39" t="inlineStr">
        <is>
          <t>05.36</t>
        </is>
      </c>
      <c r="B32" s="7" t="inlineStr">
        <is>
          <t>Geçiş kontrol — kapı okuyucu + elektrikli kilit + buton</t>
        </is>
      </c>
      <c r="C32" s="9" t="inlineStr">
        <is>
          <t>takım</t>
        </is>
      </c>
      <c r="D32" s="55" t="n">
        <v>1</v>
      </c>
      <c r="E32" s="44" t="n"/>
      <c r="F32" s="46">
        <f>D32*E32</f>
        <v/>
      </c>
      <c r="G32" s="56" t="n">
        <v>16500</v>
      </c>
      <c r="H32" s="56" t="n">
        <v>28000</v>
      </c>
    </row>
    <row r="33" ht="26" customHeight="1">
      <c r="A33" s="47" t="inlineStr">
        <is>
          <t>05.37</t>
        </is>
      </c>
      <c r="B33" s="48" t="inlineStr">
        <is>
          <t>Yangın algılama paneli — 2 zon, aküleriyle</t>
        </is>
      </c>
      <c r="C33" s="51" t="inlineStr">
        <is>
          <t>adet</t>
        </is>
      </c>
      <c r="D33" s="59" t="n">
        <v>1</v>
      </c>
      <c r="E33" s="44" t="n"/>
      <c r="F33" s="54">
        <f>D33*E33</f>
        <v/>
      </c>
      <c r="G33" s="60" t="n">
        <v>14500</v>
      </c>
      <c r="H33" s="60" t="n">
        <v>24500</v>
      </c>
    </row>
    <row r="34" ht="26" customHeight="1">
      <c r="A34" s="39" t="inlineStr">
        <is>
          <t>05.38</t>
        </is>
      </c>
      <c r="B34" s="7" t="inlineStr">
        <is>
          <t>Optik duman dedektörü</t>
        </is>
      </c>
      <c r="C34" s="9" t="inlineStr">
        <is>
          <t>adet</t>
        </is>
      </c>
      <c r="D34" s="55" t="n">
        <v>6</v>
      </c>
      <c r="E34" s="44" t="n"/>
      <c r="F34" s="46">
        <f>D34*E34</f>
        <v/>
      </c>
      <c r="G34" s="56" t="n">
        <v>7500</v>
      </c>
      <c r="H34" s="56" t="n">
        <v>12600</v>
      </c>
    </row>
    <row r="35" ht="26" customHeight="1">
      <c r="A35" s="47" t="inlineStr">
        <is>
          <t>05.39</t>
        </is>
      </c>
      <c r="B35" s="48" t="inlineStr">
        <is>
          <t>Yangın ihbar butonu / siren + flaşör</t>
        </is>
      </c>
      <c r="C35" s="51" t="inlineStr">
        <is>
          <t>adet</t>
        </is>
      </c>
      <c r="D35" s="59" t="n">
        <v>3</v>
      </c>
      <c r="E35" s="44" t="n"/>
      <c r="F35" s="54">
        <f>D35*E35</f>
        <v/>
      </c>
      <c r="G35" s="60" t="n">
        <v>5550</v>
      </c>
      <c r="H35" s="60" t="n">
        <v>9300</v>
      </c>
    </row>
    <row r="36" ht="26" customHeight="1">
      <c r="A36" s="39" t="inlineStr">
        <is>
          <t>05.40</t>
        </is>
      </c>
      <c r="B36" s="7" t="inlineStr">
        <is>
          <t>Zayıf akım kablolaması (Cat6, koaksiyel, ses, algılama)</t>
        </is>
      </c>
      <c r="C36" s="9" t="inlineStr">
        <is>
          <t>m</t>
        </is>
      </c>
      <c r="D36" s="55" t="n">
        <v>210</v>
      </c>
      <c r="E36" s="44" t="n"/>
      <c r="F36" s="46">
        <f>D36*E36</f>
        <v/>
      </c>
      <c r="G36" s="56" t="n">
        <v>12600</v>
      </c>
      <c r="H36" s="56" t="n">
        <v>22050</v>
      </c>
    </row>
    <row r="37" ht="26" customHeight="1">
      <c r="A37" s="47" t="inlineStr">
        <is>
          <t>05.45</t>
        </is>
      </c>
      <c r="B37" s="48" t="inlineStr">
        <is>
          <t>Topraklama çubuğu, bağlantı ve ölçüm kutusu</t>
        </is>
      </c>
      <c r="C37" s="51" t="inlineStr">
        <is>
          <t>takım</t>
        </is>
      </c>
      <c r="D37" s="59" t="n">
        <v>1</v>
      </c>
      <c r="E37" s="44" t="n"/>
      <c r="F37" s="54">
        <f>D37*E37</f>
        <v/>
      </c>
      <c r="G37" s="60" t="n">
        <v>8500</v>
      </c>
      <c r="H37" s="60" t="n">
        <v>14500</v>
      </c>
    </row>
    <row r="38" ht="26" customHeight="1">
      <c r="A38" s="39" t="inlineStr">
        <is>
          <t>05.46</t>
        </is>
      </c>
      <c r="B38" s="7" t="inlineStr">
        <is>
          <t>Ana potansiyel dengeleme barası ve iletkenleri</t>
        </is>
      </c>
      <c r="C38" s="9" t="inlineStr">
        <is>
          <t>takım</t>
        </is>
      </c>
      <c r="D38" s="55" t="n">
        <v>1</v>
      </c>
      <c r="E38" s="44" t="n"/>
      <c r="F38" s="46">
        <f>D38*E38</f>
        <v/>
      </c>
      <c r="G38" s="56" t="n">
        <v>5200</v>
      </c>
      <c r="H38" s="56" t="n">
        <v>8800</v>
      </c>
    </row>
    <row r="39" ht="26" customHeight="1">
      <c r="A39" s="47" t="inlineStr">
        <is>
          <t>05.47</t>
        </is>
      </c>
      <c r="B39" s="48" t="inlineStr">
        <is>
          <t>Islak hacim ek potansiyel dengeleme</t>
        </is>
      </c>
      <c r="C39" s="51" t="inlineStr">
        <is>
          <t>takım</t>
        </is>
      </c>
      <c r="D39" s="59" t="n">
        <v>2</v>
      </c>
      <c r="E39" s="44" t="n"/>
      <c r="F39" s="54">
        <f>D39*E39</f>
        <v/>
      </c>
      <c r="G39" s="60" t="n">
        <v>5600</v>
      </c>
      <c r="H39" s="60" t="n">
        <v>9400</v>
      </c>
    </row>
    <row r="40" ht="26" customHeight="1">
      <c r="A40" s="39" t="inlineStr">
        <is>
          <t>05.48</t>
        </is>
      </c>
      <c r="B40" s="7" t="inlineStr">
        <is>
          <t>Topraklama direnci ölçümü, izolasyon testi ve rapor</t>
        </is>
      </c>
      <c r="C40" s="9" t="inlineStr">
        <is>
          <t>götürü</t>
        </is>
      </c>
      <c r="D40" s="55" t="n">
        <v>1</v>
      </c>
      <c r="E40" s="44" t="n"/>
      <c r="F40" s="46">
        <f>D40*E40</f>
        <v/>
      </c>
      <c r="G40" s="56" t="n">
        <v>7500</v>
      </c>
      <c r="H40" s="56" t="n">
        <v>13000</v>
      </c>
    </row>
    <row r="41">
      <c r="A41" s="29" t="inlineStr">
        <is>
          <t>TOPLAM (KDV hariç)</t>
        </is>
      </c>
      <c r="F41" s="30">
        <f>SUM(F5:F40)</f>
        <v/>
      </c>
      <c r="G41" s="30">
        <f>SUM(G5:G40)</f>
        <v/>
      </c>
      <c r="H41" s="30">
        <f>SUM(H5:H40)</f>
        <v/>
      </c>
    </row>
  </sheetData>
  <mergeCells count="3">
    <mergeCell ref="A2:H2"/>
    <mergeCell ref="A41:E41"/>
    <mergeCell ref="A1:H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28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8" customWidth="1" min="3" max="3"/>
    <col width="9" customWidth="1" min="4" max="4"/>
    <col width="9" customWidth="1" min="5" max="5"/>
    <col width="9" customWidth="1" min="6" max="6"/>
    <col width="11" customWidth="1" min="7" max="7"/>
    <col width="13" customWidth="1" min="8" max="8"/>
    <col width="13" customWidth="1" min="9" max="9"/>
  </cols>
  <sheetData>
    <row r="1" ht="24" customHeight="1">
      <c r="A1" s="1" t="inlineStr">
        <is>
          <t>METRAJ CETVELLERİ  ·  MEASUREMENT SHEETS</t>
        </is>
      </c>
    </row>
    <row r="2" ht="15" customHeight="1">
      <c r="A2" s="11" t="inlineStr">
        <is>
          <t>MALTEPE / İDEALTEPE — MOBİLYA MAĞAZASI → FONKSİYONEL ANTRENMAN STÜDYOSU · Rev G · 17 Eylül 2026 · Boşluklar MİNHA olarak (−) satırla düşülmüştür. Ölçüler mimari uygulama projesinden türetilmiştir.</t>
        </is>
      </c>
    </row>
    <row r="4" ht="24" customHeight="1">
      <c r="A4" s="64" t="inlineStr">
        <is>
          <t>POZ NO: A.1.1      Mevcut zemin kaplaması sökümü ve altlık temizliği</t>
        </is>
      </c>
    </row>
    <row r="5">
      <c r="A5" s="65" t="inlineStr">
        <is>
          <t>MAHAL:</t>
        </is>
      </c>
      <c r="B5" s="66" t="inlineStr">
        <is>
          <t>Tüm mahaller</t>
        </is>
      </c>
      <c r="F5" s="65" t="inlineStr">
        <is>
          <t>BİRİM:</t>
        </is>
      </c>
      <c r="G5" s="67" t="inlineStr">
        <is>
          <t>m²</t>
        </is>
      </c>
      <c r="H5" s="65" t="inlineStr">
        <is>
          <t>PROJE REF:</t>
        </is>
      </c>
      <c r="I5" s="68" t="inlineStr">
        <is>
          <t>A-01…A-13</t>
        </is>
      </c>
    </row>
    <row r="6" ht="26" customHeight="1">
      <c r="A6" s="12" t="inlineStr">
        <is>
          <t>S.NO</t>
        </is>
      </c>
      <c r="B6" s="12" t="inlineStr">
        <is>
          <t>YAPILACAK İMALAT AÇIKLAMASI</t>
        </is>
      </c>
      <c r="C6" s="12" t="inlineStr">
        <is>
          <t>BİRİM</t>
        </is>
      </c>
      <c r="D6" s="12" t="inlineStr">
        <is>
          <t>ADET</t>
        </is>
      </c>
      <c r="E6" s="12" t="inlineStr">
        <is>
          <t>EN (m)</t>
        </is>
      </c>
      <c r="F6" s="12" t="inlineStr">
        <is>
          <t>BOY (m)</t>
        </is>
      </c>
      <c r="G6" s="12" t="inlineStr">
        <is>
          <t>YÜKSEKLİK (m)</t>
        </is>
      </c>
      <c r="H6" s="12" t="inlineStr">
        <is>
          <t>TOPLANAN (+)</t>
        </is>
      </c>
      <c r="I6" s="12" t="inlineStr">
        <is>
          <t>ÇIKARILAN (−)</t>
        </is>
      </c>
    </row>
    <row r="7">
      <c r="A7" s="69" t="n">
        <v>1</v>
      </c>
      <c r="B7" s="7" t="inlineStr">
        <is>
          <t>101 GİRİŞ · BANKO · SİRKÜLASYON</t>
        </is>
      </c>
      <c r="C7" s="69" t="inlineStr">
        <is>
          <t>m²</t>
        </is>
      </c>
      <c r="D7" s="55" t="n">
        <v>1</v>
      </c>
      <c r="E7" s="55" t="n"/>
      <c r="F7" s="55" t="n"/>
      <c r="G7" s="55" t="n"/>
      <c r="H7" s="70" t="n">
        <v>15.65</v>
      </c>
      <c r="I7" s="71" t="n"/>
    </row>
    <row r="8">
      <c r="A8" s="72" t="n">
        <v>2</v>
      </c>
      <c r="B8" s="48" t="inlineStr">
        <is>
          <t>102 ARENA · SERBEST AĞIRLIK</t>
        </is>
      </c>
      <c r="C8" s="72" t="inlineStr">
        <is>
          <t>m²</t>
        </is>
      </c>
      <c r="D8" s="59" t="n">
        <v>1</v>
      </c>
      <c r="E8" s="59" t="n"/>
      <c r="F8" s="59" t="n"/>
      <c r="G8" s="59" t="n"/>
      <c r="H8" s="73" t="n">
        <v>31.76</v>
      </c>
      <c r="I8" s="74" t="n"/>
    </row>
    <row r="9">
      <c r="A9" s="69" t="n">
        <v>3</v>
      </c>
      <c r="B9" s="7" t="inlineStr">
        <is>
          <t>103 FONKSİYONEL · KARDİYO</t>
        </is>
      </c>
      <c r="C9" s="69" t="inlineStr">
        <is>
          <t>m²</t>
        </is>
      </c>
      <c r="D9" s="55" t="n">
        <v>1</v>
      </c>
      <c r="E9" s="55" t="n"/>
      <c r="F9" s="55" t="n"/>
      <c r="G9" s="55" t="n"/>
      <c r="H9" s="70" t="n">
        <v>22.31</v>
      </c>
      <c r="I9" s="71" t="n"/>
    </row>
    <row r="10">
      <c r="A10" s="72" t="n">
        <v>4</v>
      </c>
      <c r="B10" s="48" t="inlineStr">
        <is>
          <t>104 DİNLENME SALONU</t>
        </is>
      </c>
      <c r="C10" s="72" t="inlineStr">
        <is>
          <t>m²</t>
        </is>
      </c>
      <c r="D10" s="59" t="n">
        <v>1</v>
      </c>
      <c r="E10" s="59" t="n"/>
      <c r="F10" s="59" t="n"/>
      <c r="G10" s="59" t="n"/>
      <c r="H10" s="73" t="n">
        <v>17.33</v>
      </c>
      <c r="I10" s="74" t="n"/>
    </row>
    <row r="11">
      <c r="A11" s="69" t="n">
        <v>5</v>
      </c>
      <c r="B11" s="7" t="inlineStr">
        <is>
          <t>105 ERKEK SOYUNMA</t>
        </is>
      </c>
      <c r="C11" s="69" t="inlineStr">
        <is>
          <t>m²</t>
        </is>
      </c>
      <c r="D11" s="55" t="n">
        <v>1</v>
      </c>
      <c r="E11" s="55" t="n"/>
      <c r="F11" s="55" t="n"/>
      <c r="G11" s="55" t="n"/>
      <c r="H11" s="70" t="n">
        <v>4.48</v>
      </c>
      <c r="I11" s="71" t="n"/>
    </row>
    <row r="12">
      <c r="A12" s="72" t="n">
        <v>6</v>
      </c>
      <c r="B12" s="48" t="inlineStr">
        <is>
          <t>106 ERKEK DUŞ</t>
        </is>
      </c>
      <c r="C12" s="72" t="inlineStr">
        <is>
          <t>m²</t>
        </is>
      </c>
      <c r="D12" s="59" t="n">
        <v>1</v>
      </c>
      <c r="E12" s="59" t="n"/>
      <c r="F12" s="59" t="n"/>
      <c r="G12" s="59" t="n"/>
      <c r="H12" s="73" t="n">
        <v>1.76</v>
      </c>
      <c r="I12" s="74" t="n"/>
    </row>
    <row r="13">
      <c r="A13" s="69" t="n">
        <v>7</v>
      </c>
      <c r="B13" s="7" t="inlineStr">
        <is>
          <t>107 ERKEK WC</t>
        </is>
      </c>
      <c r="C13" s="69" t="inlineStr">
        <is>
          <t>m²</t>
        </is>
      </c>
      <c r="D13" s="55" t="n">
        <v>1</v>
      </c>
      <c r="E13" s="55" t="n"/>
      <c r="F13" s="55" t="n"/>
      <c r="G13" s="55" t="n"/>
      <c r="H13" s="70" t="n">
        <v>1.75</v>
      </c>
      <c r="I13" s="71" t="n"/>
    </row>
    <row r="14">
      <c r="A14" s="72" t="n">
        <v>8</v>
      </c>
      <c r="B14" s="48" t="inlineStr">
        <is>
          <t>108 KADIN SOYUNMA</t>
        </is>
      </c>
      <c r="C14" s="72" t="inlineStr">
        <is>
          <t>m²</t>
        </is>
      </c>
      <c r="D14" s="59" t="n">
        <v>1</v>
      </c>
      <c r="E14" s="59" t="n"/>
      <c r="F14" s="59" t="n"/>
      <c r="G14" s="59" t="n"/>
      <c r="H14" s="73" t="n">
        <v>5.59</v>
      </c>
      <c r="I14" s="74" t="n"/>
    </row>
    <row r="15">
      <c r="A15" s="69" t="n">
        <v>9</v>
      </c>
      <c r="B15" s="7" t="inlineStr">
        <is>
          <t>109 KADIN DUŞ</t>
        </is>
      </c>
      <c r="C15" s="69" t="inlineStr">
        <is>
          <t>m²</t>
        </is>
      </c>
      <c r="D15" s="55" t="n">
        <v>1</v>
      </c>
      <c r="E15" s="55" t="n"/>
      <c r="F15" s="55" t="n"/>
      <c r="G15" s="55" t="n"/>
      <c r="H15" s="70" t="n">
        <v>1.39</v>
      </c>
      <c r="I15" s="71" t="n"/>
    </row>
    <row r="16">
      <c r="A16" s="72" t="n">
        <v>10</v>
      </c>
      <c r="B16" s="48" t="inlineStr">
        <is>
          <t>110 KADIN WC</t>
        </is>
      </c>
      <c r="C16" s="72" t="inlineStr">
        <is>
          <t>m²</t>
        </is>
      </c>
      <c r="D16" s="59" t="n">
        <v>1</v>
      </c>
      <c r="E16" s="59" t="n"/>
      <c r="F16" s="59" t="n"/>
      <c r="G16" s="59" t="n"/>
      <c r="H16" s="73" t="n">
        <v>1.29</v>
      </c>
      <c r="I16" s="74" t="n"/>
    </row>
    <row r="17">
      <c r="A17" s="69" t="n">
        <v>11</v>
      </c>
      <c r="B17" s="7" t="inlineStr">
        <is>
          <t>İç bölme duvar payı (mevcut hâlde tek hacim)</t>
        </is>
      </c>
      <c r="C17" s="69" t="inlineStr">
        <is>
          <t>m²</t>
        </is>
      </c>
      <c r="D17" s="55" t="n">
        <v>1</v>
      </c>
      <c r="E17" s="55" t="n"/>
      <c r="F17" s="55" t="n"/>
      <c r="G17" s="55" t="n"/>
      <c r="H17" s="70" t="n">
        <v>0.47</v>
      </c>
      <c r="I17" s="71" t="n"/>
    </row>
    <row r="18">
      <c r="A18" s="75" t="inlineStr">
        <is>
          <t>KISMİ YEKÜN</t>
        </is>
      </c>
      <c r="H18" s="76">
        <f>SUM(H7:H17)</f>
        <v/>
      </c>
      <c r="I18" s="77">
        <f>SUM(I7:I17)</f>
        <v/>
      </c>
    </row>
    <row r="19" ht="20" customHeight="1">
      <c r="A19" s="78" t="inlineStr">
        <is>
          <t>SAYFA YEKÜNÜ  ·  POZ A.1.1 METRAJI</t>
        </is>
      </c>
      <c r="H19" s="79">
        <f>H18-I18</f>
        <v/>
      </c>
    </row>
    <row r="21" ht="24" customHeight="1">
      <c r="A21" s="64" t="inlineStr">
        <is>
          <t>POZ NO: A.1.2      Mevcut asma tavan ve aydınlatma armatürü sökümü</t>
        </is>
      </c>
    </row>
    <row r="22">
      <c r="A22" s="65" t="inlineStr">
        <is>
          <t>MAHAL:</t>
        </is>
      </c>
      <c r="B22" s="66" t="inlineStr">
        <is>
          <t>Tüm mahaller</t>
        </is>
      </c>
      <c r="F22" s="65" t="inlineStr">
        <is>
          <t>BİRİM:</t>
        </is>
      </c>
      <c r="G22" s="67" t="inlineStr">
        <is>
          <t>m²</t>
        </is>
      </c>
      <c r="H22" s="65" t="inlineStr">
        <is>
          <t>PROJE REF:</t>
        </is>
      </c>
      <c r="I22" s="68" t="inlineStr">
        <is>
          <t>A-01…A-13</t>
        </is>
      </c>
    </row>
    <row r="23" ht="26" customHeight="1">
      <c r="A23" s="12" t="inlineStr">
        <is>
          <t>S.NO</t>
        </is>
      </c>
      <c r="B23" s="12" t="inlineStr">
        <is>
          <t>YAPILACAK İMALAT AÇIKLAMASI</t>
        </is>
      </c>
      <c r="C23" s="12" t="inlineStr">
        <is>
          <t>BİRİM</t>
        </is>
      </c>
      <c r="D23" s="12" t="inlineStr">
        <is>
          <t>ADET</t>
        </is>
      </c>
      <c r="E23" s="12" t="inlineStr">
        <is>
          <t>EN (m)</t>
        </is>
      </c>
      <c r="F23" s="12" t="inlineStr">
        <is>
          <t>BOY (m)</t>
        </is>
      </c>
      <c r="G23" s="12" t="inlineStr">
        <is>
          <t>YÜKSEKLİK (m)</t>
        </is>
      </c>
      <c r="H23" s="12" t="inlineStr">
        <is>
          <t>TOPLANAN (+)</t>
        </is>
      </c>
      <c r="I23" s="12" t="inlineStr">
        <is>
          <t>ÇIKARILAN (−)</t>
        </is>
      </c>
    </row>
    <row r="24">
      <c r="A24" s="69" t="n">
        <v>1</v>
      </c>
      <c r="B24" s="7" t="inlineStr">
        <is>
          <t>101 GİRİŞ · BANKO · SİRKÜLASYON</t>
        </is>
      </c>
      <c r="C24" s="69" t="inlineStr">
        <is>
          <t>m²</t>
        </is>
      </c>
      <c r="D24" s="55" t="n">
        <v>1</v>
      </c>
      <c r="E24" s="55" t="n"/>
      <c r="F24" s="55" t="n"/>
      <c r="G24" s="55" t="n"/>
      <c r="H24" s="70" t="n">
        <v>15.65</v>
      </c>
      <c r="I24" s="71" t="n"/>
    </row>
    <row r="25">
      <c r="A25" s="72" t="n">
        <v>2</v>
      </c>
      <c r="B25" s="48" t="inlineStr">
        <is>
          <t>102 ARENA · SERBEST AĞIRLIK</t>
        </is>
      </c>
      <c r="C25" s="72" t="inlineStr">
        <is>
          <t>m²</t>
        </is>
      </c>
      <c r="D25" s="59" t="n">
        <v>1</v>
      </c>
      <c r="E25" s="59" t="n"/>
      <c r="F25" s="59" t="n"/>
      <c r="G25" s="59" t="n"/>
      <c r="H25" s="73" t="n">
        <v>31.76</v>
      </c>
      <c r="I25" s="74" t="n"/>
    </row>
    <row r="26">
      <c r="A26" s="69" t="n">
        <v>3</v>
      </c>
      <c r="B26" s="7" t="inlineStr">
        <is>
          <t>103 FONKSİYONEL · KARDİYO</t>
        </is>
      </c>
      <c r="C26" s="69" t="inlineStr">
        <is>
          <t>m²</t>
        </is>
      </c>
      <c r="D26" s="55" t="n">
        <v>1</v>
      </c>
      <c r="E26" s="55" t="n"/>
      <c r="F26" s="55" t="n"/>
      <c r="G26" s="55" t="n"/>
      <c r="H26" s="70" t="n">
        <v>22.31</v>
      </c>
      <c r="I26" s="71" t="n"/>
    </row>
    <row r="27">
      <c r="A27" s="72" t="n">
        <v>4</v>
      </c>
      <c r="B27" s="48" t="inlineStr">
        <is>
          <t>104 DİNLENME SALONU</t>
        </is>
      </c>
      <c r="C27" s="72" t="inlineStr">
        <is>
          <t>m²</t>
        </is>
      </c>
      <c r="D27" s="59" t="n">
        <v>1</v>
      </c>
      <c r="E27" s="59" t="n"/>
      <c r="F27" s="59" t="n"/>
      <c r="G27" s="59" t="n"/>
      <c r="H27" s="73" t="n">
        <v>17.33</v>
      </c>
      <c r="I27" s="74" t="n"/>
    </row>
    <row r="28">
      <c r="A28" s="69" t="n">
        <v>5</v>
      </c>
      <c r="B28" s="7" t="inlineStr">
        <is>
          <t>105 ERKEK SOYUNMA</t>
        </is>
      </c>
      <c r="C28" s="69" t="inlineStr">
        <is>
          <t>m²</t>
        </is>
      </c>
      <c r="D28" s="55" t="n">
        <v>1</v>
      </c>
      <c r="E28" s="55" t="n"/>
      <c r="F28" s="55" t="n"/>
      <c r="G28" s="55" t="n"/>
      <c r="H28" s="70" t="n">
        <v>4.48</v>
      </c>
      <c r="I28" s="71" t="n"/>
    </row>
    <row r="29">
      <c r="A29" s="72" t="n">
        <v>6</v>
      </c>
      <c r="B29" s="48" t="inlineStr">
        <is>
          <t>106 ERKEK DUŞ</t>
        </is>
      </c>
      <c r="C29" s="72" t="inlineStr">
        <is>
          <t>m²</t>
        </is>
      </c>
      <c r="D29" s="59" t="n">
        <v>1</v>
      </c>
      <c r="E29" s="59" t="n"/>
      <c r="F29" s="59" t="n"/>
      <c r="G29" s="59" t="n"/>
      <c r="H29" s="73" t="n">
        <v>1.76</v>
      </c>
      <c r="I29" s="74" t="n"/>
    </row>
    <row r="30">
      <c r="A30" s="69" t="n">
        <v>7</v>
      </c>
      <c r="B30" s="7" t="inlineStr">
        <is>
          <t>107 ERKEK WC</t>
        </is>
      </c>
      <c r="C30" s="69" t="inlineStr">
        <is>
          <t>m²</t>
        </is>
      </c>
      <c r="D30" s="55" t="n">
        <v>1</v>
      </c>
      <c r="E30" s="55" t="n"/>
      <c r="F30" s="55" t="n"/>
      <c r="G30" s="55" t="n"/>
      <c r="H30" s="70" t="n">
        <v>1.75</v>
      </c>
      <c r="I30" s="71" t="n"/>
    </row>
    <row r="31">
      <c r="A31" s="72" t="n">
        <v>8</v>
      </c>
      <c r="B31" s="48" t="inlineStr">
        <is>
          <t>108 KADIN SOYUNMA</t>
        </is>
      </c>
      <c r="C31" s="72" t="inlineStr">
        <is>
          <t>m²</t>
        </is>
      </c>
      <c r="D31" s="59" t="n">
        <v>1</v>
      </c>
      <c r="E31" s="59" t="n"/>
      <c r="F31" s="59" t="n"/>
      <c r="G31" s="59" t="n"/>
      <c r="H31" s="73" t="n">
        <v>5.59</v>
      </c>
      <c r="I31" s="74" t="n"/>
    </row>
    <row r="32">
      <c r="A32" s="69" t="n">
        <v>9</v>
      </c>
      <c r="B32" s="7" t="inlineStr">
        <is>
          <t>109 KADIN DUŞ</t>
        </is>
      </c>
      <c r="C32" s="69" t="inlineStr">
        <is>
          <t>m²</t>
        </is>
      </c>
      <c r="D32" s="55" t="n">
        <v>1</v>
      </c>
      <c r="E32" s="55" t="n"/>
      <c r="F32" s="55" t="n"/>
      <c r="G32" s="55" t="n"/>
      <c r="H32" s="70" t="n">
        <v>1.39</v>
      </c>
      <c r="I32" s="71" t="n"/>
    </row>
    <row r="33">
      <c r="A33" s="72" t="n">
        <v>10</v>
      </c>
      <c r="B33" s="48" t="inlineStr">
        <is>
          <t>110 KADIN WC</t>
        </is>
      </c>
      <c r="C33" s="72" t="inlineStr">
        <is>
          <t>m²</t>
        </is>
      </c>
      <c r="D33" s="59" t="n">
        <v>1</v>
      </c>
      <c r="E33" s="59" t="n"/>
      <c r="F33" s="59" t="n"/>
      <c r="G33" s="59" t="n"/>
      <c r="H33" s="73" t="n">
        <v>1.29</v>
      </c>
      <c r="I33" s="74" t="n"/>
    </row>
    <row r="34">
      <c r="A34" s="69" t="n">
        <v>11</v>
      </c>
      <c r="B34" s="7" t="inlineStr">
        <is>
          <t>İç bölme duvar payı (mevcut hâlde tek hacim)</t>
        </is>
      </c>
      <c r="C34" s="69" t="inlineStr">
        <is>
          <t>m²</t>
        </is>
      </c>
      <c r="D34" s="55" t="n">
        <v>1</v>
      </c>
      <c r="E34" s="55" t="n"/>
      <c r="F34" s="55" t="n"/>
      <c r="G34" s="55" t="n"/>
      <c r="H34" s="70" t="n">
        <v>0.47</v>
      </c>
      <c r="I34" s="71" t="n"/>
    </row>
    <row r="35">
      <c r="A35" s="75" t="inlineStr">
        <is>
          <t>KISMİ YEKÜN</t>
        </is>
      </c>
      <c r="H35" s="76">
        <f>SUM(H24:H34)</f>
        <v/>
      </c>
      <c r="I35" s="77">
        <f>SUM(I24:I34)</f>
        <v/>
      </c>
    </row>
    <row r="36" ht="20" customHeight="1">
      <c r="A36" s="78" t="inlineStr">
        <is>
          <t>SAYFA YEKÜNÜ  ·  POZ A.1.2 METRAJI</t>
        </is>
      </c>
      <c r="H36" s="79">
        <f>H35-I35</f>
        <v/>
      </c>
    </row>
    <row r="38" ht="24" customHeight="1">
      <c r="A38" s="64" t="inlineStr">
        <is>
          <t>POZ NO: A.1.3      Islak hacimde mevcut şap kırımı (ort. 70 mm, tesisat boşluğu)</t>
        </is>
      </c>
    </row>
    <row r="39">
      <c r="A39" s="65" t="inlineStr">
        <is>
          <t>MAHAL:</t>
        </is>
      </c>
      <c r="B39" s="66" t="inlineStr">
        <is>
          <t>106·107·109·110</t>
        </is>
      </c>
      <c r="F39" s="65" t="inlineStr">
        <is>
          <t>BİRİM:</t>
        </is>
      </c>
      <c r="G39" s="67" t="inlineStr">
        <is>
          <t>m²</t>
        </is>
      </c>
      <c r="H39" s="65" t="inlineStr">
        <is>
          <t>PROJE REF:</t>
        </is>
      </c>
      <c r="I39" s="68" t="inlineStr">
        <is>
          <t>A-01…A-13</t>
        </is>
      </c>
    </row>
    <row r="40" ht="26" customHeight="1">
      <c r="A40" s="12" t="inlineStr">
        <is>
          <t>S.NO</t>
        </is>
      </c>
      <c r="B40" s="12" t="inlineStr">
        <is>
          <t>YAPILACAK İMALAT AÇIKLAMASI</t>
        </is>
      </c>
      <c r="C40" s="12" t="inlineStr">
        <is>
          <t>BİRİM</t>
        </is>
      </c>
      <c r="D40" s="12" t="inlineStr">
        <is>
          <t>ADET</t>
        </is>
      </c>
      <c r="E40" s="12" t="inlineStr">
        <is>
          <t>EN (m)</t>
        </is>
      </c>
      <c r="F40" s="12" t="inlineStr">
        <is>
          <t>BOY (m)</t>
        </is>
      </c>
      <c r="G40" s="12" t="inlineStr">
        <is>
          <t>YÜKSEKLİK (m)</t>
        </is>
      </c>
      <c r="H40" s="12" t="inlineStr">
        <is>
          <t>TOPLANAN (+)</t>
        </is>
      </c>
      <c r="I40" s="12" t="inlineStr">
        <is>
          <t>ÇIKARILAN (−)</t>
        </is>
      </c>
    </row>
    <row r="41">
      <c r="A41" s="69" t="n">
        <v>1</v>
      </c>
      <c r="B41" s="7" t="inlineStr">
        <is>
          <t>106 ERKEK DUŞ</t>
        </is>
      </c>
      <c r="C41" s="69" t="inlineStr">
        <is>
          <t>m²</t>
        </is>
      </c>
      <c r="D41" s="55" t="n">
        <v>1</v>
      </c>
      <c r="E41" s="55" t="n"/>
      <c r="F41" s="55" t="n"/>
      <c r="G41" s="55" t="n"/>
      <c r="H41" s="70" t="n">
        <v>1.76</v>
      </c>
      <c r="I41" s="71" t="n"/>
    </row>
    <row r="42">
      <c r="A42" s="72" t="n">
        <v>2</v>
      </c>
      <c r="B42" s="48" t="inlineStr">
        <is>
          <t>107 ERKEK WC</t>
        </is>
      </c>
      <c r="C42" s="72" t="inlineStr">
        <is>
          <t>m²</t>
        </is>
      </c>
      <c r="D42" s="59" t="n">
        <v>1</v>
      </c>
      <c r="E42" s="59" t="n"/>
      <c r="F42" s="59" t="n"/>
      <c r="G42" s="59" t="n"/>
      <c r="H42" s="73" t="n">
        <v>1.75</v>
      </c>
      <c r="I42" s="74" t="n"/>
    </row>
    <row r="43">
      <c r="A43" s="69" t="n">
        <v>3</v>
      </c>
      <c r="B43" s="7" t="inlineStr">
        <is>
          <t>109 KADIN DUŞ</t>
        </is>
      </c>
      <c r="C43" s="69" t="inlineStr">
        <is>
          <t>m²</t>
        </is>
      </c>
      <c r="D43" s="55" t="n">
        <v>1</v>
      </c>
      <c r="E43" s="55" t="n"/>
      <c r="F43" s="55" t="n"/>
      <c r="G43" s="55" t="n"/>
      <c r="H43" s="70" t="n">
        <v>1.39</v>
      </c>
      <c r="I43" s="71" t="n"/>
    </row>
    <row r="44">
      <c r="A44" s="72" t="n">
        <v>4</v>
      </c>
      <c r="B44" s="48" t="inlineStr">
        <is>
          <t>110 KADIN WC</t>
        </is>
      </c>
      <c r="C44" s="72" t="inlineStr">
        <is>
          <t>m²</t>
        </is>
      </c>
      <c r="D44" s="59" t="n">
        <v>1</v>
      </c>
      <c r="E44" s="59" t="n"/>
      <c r="F44" s="59" t="n"/>
      <c r="G44" s="59" t="n"/>
      <c r="H44" s="73" t="n">
        <v>1.29</v>
      </c>
      <c r="I44" s="74" t="n"/>
    </row>
    <row r="45">
      <c r="A45" s="75" t="inlineStr">
        <is>
          <t>KISMİ YEKÜN</t>
        </is>
      </c>
      <c r="H45" s="76">
        <f>SUM(H41:H44)</f>
        <v/>
      </c>
      <c r="I45" s="77">
        <f>SUM(I41:I44)</f>
        <v/>
      </c>
    </row>
    <row r="46" ht="20" customHeight="1">
      <c r="A46" s="78" t="inlineStr">
        <is>
          <t>SAYFA YEKÜNÜ  ·  POZ A.1.3 METRAJI</t>
        </is>
      </c>
      <c r="H46" s="79">
        <f>H45-I45</f>
        <v/>
      </c>
    </row>
    <row r="48" ht="24" customHeight="1">
      <c r="A48" s="64" t="inlineStr">
        <is>
          <t>POZ NO: A.1.4      Mevcut sıva üstü elektrik tesisatı ve tablosu sökümü</t>
        </is>
      </c>
    </row>
    <row r="49">
      <c r="A49" s="65" t="inlineStr">
        <is>
          <t>MAHAL:</t>
        </is>
      </c>
      <c r="B49" s="66" t="inlineStr">
        <is>
          <t>Tüm mahaller</t>
        </is>
      </c>
      <c r="F49" s="65" t="inlineStr">
        <is>
          <t>BİRİM:</t>
        </is>
      </c>
      <c r="G49" s="67" t="inlineStr">
        <is>
          <t>tk</t>
        </is>
      </c>
      <c r="H49" s="65" t="inlineStr">
        <is>
          <t>PROJE REF:</t>
        </is>
      </c>
      <c r="I49" s="68" t="inlineStr">
        <is>
          <t>A-01…A-13</t>
        </is>
      </c>
    </row>
    <row r="50" ht="26" customHeight="1">
      <c r="A50" s="12" t="inlineStr">
        <is>
          <t>S.NO</t>
        </is>
      </c>
      <c r="B50" s="12" t="inlineStr">
        <is>
          <t>YAPILACAK İMALAT AÇIKLAMASI</t>
        </is>
      </c>
      <c r="C50" s="12" t="inlineStr">
        <is>
          <t>BİRİM</t>
        </is>
      </c>
      <c r="D50" s="12" t="inlineStr">
        <is>
          <t>ADET</t>
        </is>
      </c>
      <c r="E50" s="12" t="inlineStr">
        <is>
          <t>EN (m)</t>
        </is>
      </c>
      <c r="F50" s="12" t="inlineStr">
        <is>
          <t>BOY (m)</t>
        </is>
      </c>
      <c r="G50" s="12" t="inlineStr">
        <is>
          <t>YÜKSEKLİK (m)</t>
        </is>
      </c>
      <c r="H50" s="12" t="inlineStr">
        <is>
          <t>TOPLANAN (+)</t>
        </is>
      </c>
      <c r="I50" s="12" t="inlineStr">
        <is>
          <t>ÇIKARILAN (−)</t>
        </is>
      </c>
    </row>
    <row r="51">
      <c r="A51" s="69" t="n">
        <v>1</v>
      </c>
      <c r="B51" s="7" t="inlineStr">
        <is>
          <t>Mevcut mağaza tesisatı — komple</t>
        </is>
      </c>
      <c r="C51" s="69" t="inlineStr">
        <is>
          <t>tk</t>
        </is>
      </c>
      <c r="D51" s="55" t="n">
        <v>1</v>
      </c>
      <c r="E51" s="55" t="n"/>
      <c r="F51" s="55" t="n"/>
      <c r="G51" s="55" t="n"/>
      <c r="H51" s="70" t="n">
        <v>1</v>
      </c>
      <c r="I51" s="71" t="n"/>
    </row>
    <row r="52">
      <c r="A52" s="75" t="inlineStr">
        <is>
          <t>KISMİ YEKÜN</t>
        </is>
      </c>
      <c r="H52" s="76">
        <f>SUM(H51:H51)</f>
        <v/>
      </c>
      <c r="I52" s="77">
        <f>SUM(I51:I51)</f>
        <v/>
      </c>
    </row>
    <row r="53" ht="20" customHeight="1">
      <c r="A53" s="78" t="inlineStr">
        <is>
          <t>SAYFA YEKÜNÜ  ·  POZ A.1.4 METRAJI</t>
        </is>
      </c>
      <c r="H53" s="79">
        <f>H52-I52</f>
        <v/>
      </c>
    </row>
    <row r="55" ht="24" customHeight="1">
      <c r="A55" s="64" t="inlineStr">
        <is>
          <t>POZ NO: A.1.5      Mevcut mağaza rafı, teşhir ünitesi ve mobilya sökümü</t>
        </is>
      </c>
    </row>
    <row r="56">
      <c r="A56" s="65" t="inlineStr">
        <is>
          <t>MAHAL:</t>
        </is>
      </c>
      <c r="B56" s="66" t="inlineStr">
        <is>
          <t>101–104</t>
        </is>
      </c>
      <c r="F56" s="65" t="inlineStr">
        <is>
          <t>BİRİM:</t>
        </is>
      </c>
      <c r="G56" s="67" t="inlineStr">
        <is>
          <t>tk</t>
        </is>
      </c>
      <c r="H56" s="65" t="inlineStr">
        <is>
          <t>PROJE REF:</t>
        </is>
      </c>
      <c r="I56" s="68" t="inlineStr">
        <is>
          <t>A-01…A-13</t>
        </is>
      </c>
    </row>
    <row r="57" ht="26" customHeight="1">
      <c r="A57" s="12" t="inlineStr">
        <is>
          <t>S.NO</t>
        </is>
      </c>
      <c r="B57" s="12" t="inlineStr">
        <is>
          <t>YAPILACAK İMALAT AÇIKLAMASI</t>
        </is>
      </c>
      <c r="C57" s="12" t="inlineStr">
        <is>
          <t>BİRİM</t>
        </is>
      </c>
      <c r="D57" s="12" t="inlineStr">
        <is>
          <t>ADET</t>
        </is>
      </c>
      <c r="E57" s="12" t="inlineStr">
        <is>
          <t>EN (m)</t>
        </is>
      </c>
      <c r="F57" s="12" t="inlineStr">
        <is>
          <t>BOY (m)</t>
        </is>
      </c>
      <c r="G57" s="12" t="inlineStr">
        <is>
          <t>YÜKSEKLİK (m)</t>
        </is>
      </c>
      <c r="H57" s="12" t="inlineStr">
        <is>
          <t>TOPLANAN (+)</t>
        </is>
      </c>
      <c r="I57" s="12" t="inlineStr">
        <is>
          <t>ÇIKARILAN (−)</t>
        </is>
      </c>
    </row>
    <row r="58">
      <c r="A58" s="69" t="n">
        <v>1</v>
      </c>
      <c r="B58" s="7" t="inlineStr">
        <is>
          <t>Mağaza demirbaşı — komple söküm ve tasnif</t>
        </is>
      </c>
      <c r="C58" s="69" t="inlineStr">
        <is>
          <t>tk</t>
        </is>
      </c>
      <c r="D58" s="55" t="n">
        <v>1</v>
      </c>
      <c r="E58" s="55" t="n"/>
      <c r="F58" s="55" t="n"/>
      <c r="G58" s="55" t="n"/>
      <c r="H58" s="70" t="n">
        <v>1</v>
      </c>
      <c r="I58" s="71" t="n"/>
    </row>
    <row r="59">
      <c r="A59" s="75" t="inlineStr">
        <is>
          <t>KISMİ YEKÜN</t>
        </is>
      </c>
      <c r="H59" s="76">
        <f>SUM(H58:H58)</f>
        <v/>
      </c>
      <c r="I59" s="77">
        <f>SUM(I58:I58)</f>
        <v/>
      </c>
    </row>
    <row r="60" ht="20" customHeight="1">
      <c r="A60" s="78" t="inlineStr">
        <is>
          <t>SAYFA YEKÜNÜ  ·  POZ A.1.5 METRAJI</t>
        </is>
      </c>
      <c r="H60" s="79">
        <f>H59-I59</f>
        <v/>
      </c>
    </row>
    <row r="62" ht="24" customHeight="1">
      <c r="A62" s="64" t="inlineStr">
        <is>
          <t>POZ NO: A.1.6      Moloz çuvallama, yatay-düşey taşıma ve döküm sahasına nakli</t>
        </is>
      </c>
    </row>
    <row r="63">
      <c r="A63" s="65" t="inlineStr">
        <is>
          <t>MAHAL:</t>
        </is>
      </c>
      <c r="B63" s="66" t="inlineStr">
        <is>
          <t>Tüm mahaller</t>
        </is>
      </c>
      <c r="F63" s="65" t="inlineStr">
        <is>
          <t>BİRİM:</t>
        </is>
      </c>
      <c r="G63" s="67" t="inlineStr">
        <is>
          <t>m³</t>
        </is>
      </c>
      <c r="H63" s="65" t="inlineStr">
        <is>
          <t>PROJE REF:</t>
        </is>
      </c>
      <c r="I63" s="68" t="inlineStr">
        <is>
          <t>A-01…A-13</t>
        </is>
      </c>
    </row>
    <row r="64" ht="26" customHeight="1">
      <c r="A64" s="12" t="inlineStr">
        <is>
          <t>S.NO</t>
        </is>
      </c>
      <c r="B64" s="12" t="inlineStr">
        <is>
          <t>YAPILACAK İMALAT AÇIKLAMASI</t>
        </is>
      </c>
      <c r="C64" s="12" t="inlineStr">
        <is>
          <t>BİRİM</t>
        </is>
      </c>
      <c r="D64" s="12" t="inlineStr">
        <is>
          <t>ADET</t>
        </is>
      </c>
      <c r="E64" s="12" t="inlineStr">
        <is>
          <t>EN (m)</t>
        </is>
      </c>
      <c r="F64" s="12" t="inlineStr">
        <is>
          <t>BOY (m)</t>
        </is>
      </c>
      <c r="G64" s="12" t="inlineStr">
        <is>
          <t>YÜKSEKLİK (m)</t>
        </is>
      </c>
      <c r="H64" s="12" t="inlineStr">
        <is>
          <t>TOPLANAN (+)</t>
        </is>
      </c>
      <c r="I64" s="12" t="inlineStr">
        <is>
          <t>ÇIKARILAN (−)</t>
        </is>
      </c>
    </row>
    <row r="65">
      <c r="A65" s="69" t="n">
        <v>1</v>
      </c>
      <c r="B65" s="7" t="inlineStr">
        <is>
          <t>Zemin kaplaması sökümü molozu (103,78 m² × 0,05 m)</t>
        </is>
      </c>
      <c r="C65" s="69" t="inlineStr">
        <is>
          <t>m³</t>
        </is>
      </c>
      <c r="D65" s="55" t="n">
        <v>1</v>
      </c>
      <c r="E65" s="55" t="n">
        <v>103.78</v>
      </c>
      <c r="F65" s="55" t="n">
        <v>0.05</v>
      </c>
      <c r="G65" s="55" t="n"/>
      <c r="H65" s="70" t="n">
        <v>5.189</v>
      </c>
      <c r="I65" s="71" t="n"/>
    </row>
    <row r="66">
      <c r="A66" s="72" t="n">
        <v>2</v>
      </c>
      <c r="B66" s="48" t="inlineStr">
        <is>
          <t>Asma tavan sökümü molozu (103,78 m² × 0,03 m)</t>
        </is>
      </c>
      <c r="C66" s="72" t="inlineStr">
        <is>
          <t>m³</t>
        </is>
      </c>
      <c r="D66" s="59" t="n">
        <v>1</v>
      </c>
      <c r="E66" s="59" t="n">
        <v>103.78</v>
      </c>
      <c r="F66" s="59" t="n">
        <v>0.03</v>
      </c>
      <c r="G66" s="59" t="n"/>
      <c r="H66" s="73" t="n">
        <v>3.113</v>
      </c>
      <c r="I66" s="74" t="n"/>
    </row>
    <row r="67">
      <c r="A67" s="69" t="n">
        <v>3</v>
      </c>
      <c r="B67" s="7" t="inlineStr">
        <is>
          <t>Islak hacim şap kırımı molozu (16,73 m² × 0,07 m)</t>
        </is>
      </c>
      <c r="C67" s="69" t="inlineStr">
        <is>
          <t>m³</t>
        </is>
      </c>
      <c r="D67" s="55" t="n">
        <v>1</v>
      </c>
      <c r="E67" s="55" t="n">
        <v>16.73</v>
      </c>
      <c r="F67" s="55" t="n">
        <v>0.07000000000000001</v>
      </c>
      <c r="G67" s="55" t="n"/>
      <c r="H67" s="70" t="n">
        <v>1.171</v>
      </c>
      <c r="I67" s="71" t="n"/>
    </row>
    <row r="68">
      <c r="A68" s="72" t="n">
        <v>4</v>
      </c>
      <c r="B68" s="48" t="inlineStr">
        <is>
          <t>Mağaza demirbaşı ve ambalaj (götürü)</t>
        </is>
      </c>
      <c r="C68" s="72" t="inlineStr">
        <is>
          <t>m³</t>
        </is>
      </c>
      <c r="D68" s="59" t="n">
        <v>1</v>
      </c>
      <c r="E68" s="59" t="n">
        <v>4</v>
      </c>
      <c r="F68" s="59" t="n"/>
      <c r="G68" s="59" t="n"/>
      <c r="H68" s="73" t="n">
        <v>4</v>
      </c>
      <c r="I68" s="74" t="n"/>
    </row>
    <row r="69">
      <c r="A69" s="75" t="inlineStr">
        <is>
          <t>KISMİ YEKÜN</t>
        </is>
      </c>
      <c r="H69" s="76">
        <f>SUM(H65:H68)</f>
        <v/>
      </c>
      <c r="I69" s="77">
        <f>SUM(I65:I68)</f>
        <v/>
      </c>
    </row>
    <row r="70" ht="20" customHeight="1">
      <c r="A70" s="78" t="inlineStr">
        <is>
          <t>SAYFA YEKÜNÜ  ·  POZ A.1.6 METRAJI</t>
        </is>
      </c>
      <c r="H70" s="79">
        <f>H69-I69</f>
        <v/>
      </c>
    </row>
    <row r="72" ht="24" customHeight="1">
      <c r="A72" s="64" t="inlineStr">
        <is>
          <t>POZ NO: B.1.1      D2 alçıpan bölme — 50 mm C profil @400 + 40 mm taşyünü + her yüz 2×12,5 mm A tipi alçıpan (toplam 100 mm)</t>
        </is>
      </c>
    </row>
    <row r="73">
      <c r="A73" s="65" t="inlineStr">
        <is>
          <t>MAHAL:</t>
        </is>
      </c>
      <c r="B73" s="66" t="inlineStr">
        <is>
          <t>105 · 108 cephe</t>
        </is>
      </c>
      <c r="F73" s="65" t="inlineStr">
        <is>
          <t>BİRİM:</t>
        </is>
      </c>
      <c r="G73" s="67" t="inlineStr">
        <is>
          <t>m²</t>
        </is>
      </c>
      <c r="H73" s="65" t="inlineStr">
        <is>
          <t>PROJE REF:</t>
        </is>
      </c>
      <c r="I73" s="68" t="inlineStr">
        <is>
          <t>A-01…A-13</t>
        </is>
      </c>
    </row>
    <row r="74" ht="26" customHeight="1">
      <c r="A74" s="12" t="inlineStr">
        <is>
          <t>S.NO</t>
        </is>
      </c>
      <c r="B74" s="12" t="inlineStr">
        <is>
          <t>YAPILACAK İMALAT AÇIKLAMASI</t>
        </is>
      </c>
      <c r="C74" s="12" t="inlineStr">
        <is>
          <t>BİRİM</t>
        </is>
      </c>
      <c r="D74" s="12" t="inlineStr">
        <is>
          <t>ADET</t>
        </is>
      </c>
      <c r="E74" s="12" t="inlineStr">
        <is>
          <t>EN (m)</t>
        </is>
      </c>
      <c r="F74" s="12" t="inlineStr">
        <is>
          <t>BOY (m)</t>
        </is>
      </c>
      <c r="G74" s="12" t="inlineStr">
        <is>
          <t>YÜKSEKLİK (m)</t>
        </is>
      </c>
      <c r="H74" s="12" t="inlineStr">
        <is>
          <t>TOPLANAN (+)</t>
        </is>
      </c>
      <c r="I74" s="12" t="inlineStr">
        <is>
          <t>ÇIKARILAN (−)</t>
        </is>
      </c>
    </row>
    <row r="75">
      <c r="A75" s="69" t="n">
        <v>1</v>
      </c>
      <c r="B75" s="7" t="inlineStr">
        <is>
          <t>Erkek soyunma bloğu salon cephesi</t>
        </is>
      </c>
      <c r="C75" s="69" t="inlineStr">
        <is>
          <t>m²</t>
        </is>
      </c>
      <c r="D75" s="55" t="n">
        <v>1</v>
      </c>
      <c r="E75" s="55" t="n">
        <v>3.7</v>
      </c>
      <c r="F75" s="55" t="n"/>
      <c r="G75" s="55" t="n">
        <v>3.2</v>
      </c>
      <c r="H75" s="70" t="n">
        <v>11.84</v>
      </c>
      <c r="I75" s="71" t="n"/>
    </row>
    <row r="76">
      <c r="A76" s="72" t="n">
        <v>2</v>
      </c>
      <c r="B76" s="48" t="inlineStr">
        <is>
          <t>Kadın soyunma bloğu salon cephesi</t>
        </is>
      </c>
      <c r="C76" s="72" t="inlineStr">
        <is>
          <t>m²</t>
        </is>
      </c>
      <c r="D76" s="59" t="n">
        <v>1</v>
      </c>
      <c r="E76" s="59" t="n">
        <v>4.22</v>
      </c>
      <c r="F76" s="59" t="n"/>
      <c r="G76" s="59" t="n">
        <v>3.2</v>
      </c>
      <c r="H76" s="73" t="n">
        <v>13.504</v>
      </c>
      <c r="I76" s="74" t="n"/>
    </row>
    <row r="77">
      <c r="A77" s="69" t="n">
        <v>3</v>
      </c>
      <c r="B77" s="7" t="inlineStr">
        <is>
          <t>Erkek/kadın blok arası ayırıcı bölme</t>
        </is>
      </c>
      <c r="C77" s="69" t="inlineStr">
        <is>
          <t>m²</t>
        </is>
      </c>
      <c r="D77" s="55" t="n">
        <v>1</v>
      </c>
      <c r="E77" s="55" t="n">
        <v>2.15</v>
      </c>
      <c r="F77" s="55" t="n"/>
      <c r="G77" s="55" t="n">
        <v>3.2</v>
      </c>
      <c r="H77" s="70" t="n">
        <v>6.88</v>
      </c>
      <c r="I77" s="71" t="n"/>
    </row>
    <row r="78">
      <c r="A78" s="80" t="n">
        <v>4</v>
      </c>
      <c r="B78" s="81" t="inlineStr">
        <is>
          <t>K03 kapı boşluğu minha</t>
        </is>
      </c>
      <c r="C78" s="80" t="inlineStr">
        <is>
          <t>m²</t>
        </is>
      </c>
      <c r="D78" s="82" t="n">
        <v>1</v>
      </c>
      <c r="E78" s="82" t="n">
        <v>0.9</v>
      </c>
      <c r="F78" s="82" t="n">
        <v>2.1</v>
      </c>
      <c r="G78" s="82" t="n"/>
      <c r="H78" s="83" t="n"/>
      <c r="I78" s="84" t="n">
        <v>1.89</v>
      </c>
    </row>
    <row r="79">
      <c r="A79" s="80" t="n">
        <v>5</v>
      </c>
      <c r="B79" s="81" t="inlineStr">
        <is>
          <t>K04 kapı boşluğu minha</t>
        </is>
      </c>
      <c r="C79" s="80" t="inlineStr">
        <is>
          <t>m²</t>
        </is>
      </c>
      <c r="D79" s="82" t="n">
        <v>1</v>
      </c>
      <c r="E79" s="82" t="n">
        <v>0.9</v>
      </c>
      <c r="F79" s="82" t="n">
        <v>2.1</v>
      </c>
      <c r="G79" s="82" t="n"/>
      <c r="H79" s="83" t="n"/>
      <c r="I79" s="84" t="n">
        <v>1.89</v>
      </c>
    </row>
    <row r="80">
      <c r="A80" s="75" t="inlineStr">
        <is>
          <t>KISMİ YEKÜN</t>
        </is>
      </c>
      <c r="H80" s="76">
        <f>SUM(H75:H79)</f>
        <v/>
      </c>
      <c r="I80" s="77">
        <f>SUM(I75:I79)</f>
        <v/>
      </c>
    </row>
    <row r="81" ht="20" customHeight="1">
      <c r="A81" s="78" t="inlineStr">
        <is>
          <t>SAYFA YEKÜNÜ  ·  POZ B.1.1 METRAJI</t>
        </is>
      </c>
      <c r="H81" s="79">
        <f>H80-I80</f>
        <v/>
      </c>
    </row>
    <row r="83" ht="24" customHeight="1">
      <c r="A83" s="64" t="inlineStr">
        <is>
          <t>POZ NO: B.1.2      D3 alçıpan bölme — ıslak yüzde 2×12,5 mm H2 (yeşil) alçıpan, kuru yüzde 2×12,5 mm A tipi (toplam 100 mm)</t>
        </is>
      </c>
    </row>
    <row r="84">
      <c r="A84" s="65" t="inlineStr">
        <is>
          <t>MAHAL:</t>
        </is>
      </c>
      <c r="B84" s="66" t="inlineStr">
        <is>
          <t>106·107·109·110</t>
        </is>
      </c>
      <c r="F84" s="65" t="inlineStr">
        <is>
          <t>BİRİM:</t>
        </is>
      </c>
      <c r="G84" s="67" t="inlineStr">
        <is>
          <t>m²</t>
        </is>
      </c>
      <c r="H84" s="65" t="inlineStr">
        <is>
          <t>PROJE REF:</t>
        </is>
      </c>
      <c r="I84" s="68" t="inlineStr">
        <is>
          <t>A-01…A-13</t>
        </is>
      </c>
    </row>
    <row r="85" ht="26" customHeight="1">
      <c r="A85" s="12" t="inlineStr">
        <is>
          <t>S.NO</t>
        </is>
      </c>
      <c r="B85" s="12" t="inlineStr">
        <is>
          <t>YAPILACAK İMALAT AÇIKLAMASI</t>
        </is>
      </c>
      <c r="C85" s="12" t="inlineStr">
        <is>
          <t>BİRİM</t>
        </is>
      </c>
      <c r="D85" s="12" t="inlineStr">
        <is>
          <t>ADET</t>
        </is>
      </c>
      <c r="E85" s="12" t="inlineStr">
        <is>
          <t>EN (m)</t>
        </is>
      </c>
      <c r="F85" s="12" t="inlineStr">
        <is>
          <t>BOY (m)</t>
        </is>
      </c>
      <c r="G85" s="12" t="inlineStr">
        <is>
          <t>YÜKSEKLİK (m)</t>
        </is>
      </c>
      <c r="H85" s="12" t="inlineStr">
        <is>
          <t>TOPLANAN (+)</t>
        </is>
      </c>
      <c r="I85" s="12" t="inlineStr">
        <is>
          <t>ÇIKARILAN (−)</t>
        </is>
      </c>
    </row>
    <row r="86">
      <c r="A86" s="69" t="n">
        <v>1</v>
      </c>
      <c r="B86" s="7" t="inlineStr">
        <is>
          <t>Erkek duş bölme duvarı (çevre 5.41 m)</t>
        </is>
      </c>
      <c r="C86" s="69" t="inlineStr">
        <is>
          <t>m²</t>
        </is>
      </c>
      <c r="D86" s="55" t="n">
        <v>1</v>
      </c>
      <c r="E86" s="55" t="n">
        <v>5.41</v>
      </c>
      <c r="F86" s="55" t="n"/>
      <c r="G86" s="55" t="n">
        <v>3.2</v>
      </c>
      <c r="H86" s="70" t="n">
        <v>17.312</v>
      </c>
      <c r="I86" s="71" t="n"/>
    </row>
    <row r="87">
      <c r="A87" s="72" t="n">
        <v>2</v>
      </c>
      <c r="B87" s="48" t="inlineStr">
        <is>
          <t>Erkek WC bölme duvarı (çevre 5.4 m)</t>
        </is>
      </c>
      <c r="C87" s="72" t="inlineStr">
        <is>
          <t>m²</t>
        </is>
      </c>
      <c r="D87" s="59" t="n">
        <v>1</v>
      </c>
      <c r="E87" s="59" t="n">
        <v>5.4</v>
      </c>
      <c r="F87" s="59" t="n"/>
      <c r="G87" s="59" t="n">
        <v>3.2</v>
      </c>
      <c r="H87" s="73" t="n">
        <v>17.28</v>
      </c>
      <c r="I87" s="74" t="n"/>
    </row>
    <row r="88">
      <c r="A88" s="69" t="n">
        <v>3</v>
      </c>
      <c r="B88" s="7" t="inlineStr">
        <is>
          <t>Kadin duş bölme duvarı (çevre 4.76 m)</t>
        </is>
      </c>
      <c r="C88" s="69" t="inlineStr">
        <is>
          <t>m²</t>
        </is>
      </c>
      <c r="D88" s="55" t="n">
        <v>1</v>
      </c>
      <c r="E88" s="55" t="n">
        <v>4.76</v>
      </c>
      <c r="F88" s="55" t="n"/>
      <c r="G88" s="55" t="n">
        <v>3.2</v>
      </c>
      <c r="H88" s="70" t="n">
        <v>15.232</v>
      </c>
      <c r="I88" s="71" t="n"/>
    </row>
    <row r="89">
      <c r="A89" s="72" t="n">
        <v>4</v>
      </c>
      <c r="B89" s="48" t="inlineStr">
        <is>
          <t>Kadin WC bölme duvarı (çevre 5.04 m)</t>
        </is>
      </c>
      <c r="C89" s="72" t="inlineStr">
        <is>
          <t>m²</t>
        </is>
      </c>
      <c r="D89" s="59" t="n">
        <v>1</v>
      </c>
      <c r="E89" s="59" t="n">
        <v>5.04</v>
      </c>
      <c r="F89" s="59" t="n"/>
      <c r="G89" s="59" t="n">
        <v>3.2</v>
      </c>
      <c r="H89" s="73" t="n">
        <v>16.128</v>
      </c>
      <c r="I89" s="74" t="n"/>
    </row>
    <row r="90">
      <c r="A90" s="80" t="n">
        <v>5</v>
      </c>
      <c r="B90" s="81" t="inlineStr">
        <is>
          <t>K05 kapı boşluğu minha</t>
        </is>
      </c>
      <c r="C90" s="80" t="inlineStr">
        <is>
          <t>m²</t>
        </is>
      </c>
      <c r="D90" s="82" t="n">
        <v>1</v>
      </c>
      <c r="E90" s="82" t="n">
        <v>0.7</v>
      </c>
      <c r="F90" s="82" t="n">
        <v>2</v>
      </c>
      <c r="G90" s="82" t="n"/>
      <c r="H90" s="83" t="n"/>
      <c r="I90" s="84" t="n">
        <v>1.4</v>
      </c>
    </row>
    <row r="91">
      <c r="A91" s="80" t="n">
        <v>6</v>
      </c>
      <c r="B91" s="81" t="inlineStr">
        <is>
          <t>K06 kapı boşluğu minha</t>
        </is>
      </c>
      <c r="C91" s="80" t="inlineStr">
        <is>
          <t>m²</t>
        </is>
      </c>
      <c r="D91" s="82" t="n">
        <v>1</v>
      </c>
      <c r="E91" s="82" t="n">
        <v>0.7</v>
      </c>
      <c r="F91" s="82" t="n">
        <v>2</v>
      </c>
      <c r="G91" s="82" t="n"/>
      <c r="H91" s="83" t="n"/>
      <c r="I91" s="84" t="n">
        <v>1.4</v>
      </c>
    </row>
    <row r="92">
      <c r="A92" s="80" t="n">
        <v>7</v>
      </c>
      <c r="B92" s="81" t="inlineStr">
        <is>
          <t>K07 kapı boşluğu minha</t>
        </is>
      </c>
      <c r="C92" s="80" t="inlineStr">
        <is>
          <t>m²</t>
        </is>
      </c>
      <c r="D92" s="82" t="n">
        <v>1</v>
      </c>
      <c r="E92" s="82" t="n">
        <v>0.7</v>
      </c>
      <c r="F92" s="82" t="n">
        <v>1.95</v>
      </c>
      <c r="G92" s="82" t="n"/>
      <c r="H92" s="83" t="n"/>
      <c r="I92" s="84" t="n">
        <v>1.365</v>
      </c>
    </row>
    <row r="93">
      <c r="A93" s="80" t="n">
        <v>8</v>
      </c>
      <c r="B93" s="81" t="inlineStr">
        <is>
          <t>K08 kapı boşluğu minha</t>
        </is>
      </c>
      <c r="C93" s="80" t="inlineStr">
        <is>
          <t>m²</t>
        </is>
      </c>
      <c r="D93" s="82" t="n">
        <v>1</v>
      </c>
      <c r="E93" s="82" t="n">
        <v>0.7</v>
      </c>
      <c r="F93" s="82" t="n">
        <v>1.95</v>
      </c>
      <c r="G93" s="82" t="n"/>
      <c r="H93" s="83" t="n"/>
      <c r="I93" s="84" t="n">
        <v>1.365</v>
      </c>
    </row>
    <row r="94">
      <c r="A94" s="75" t="inlineStr">
        <is>
          <t>KISMİ YEKÜN</t>
        </is>
      </c>
      <c r="H94" s="76">
        <f>SUM(H86:H93)</f>
        <v/>
      </c>
      <c r="I94" s="77">
        <f>SUM(I86:I93)</f>
        <v/>
      </c>
    </row>
    <row r="95" ht="20" customHeight="1">
      <c r="A95" s="78" t="inlineStr">
        <is>
          <t>SAYFA YEKÜNÜ  ·  POZ B.1.2 METRAJI</t>
        </is>
      </c>
      <c r="H95" s="79">
        <f>H94-I94</f>
        <v/>
      </c>
    </row>
    <row r="97" ht="24" customHeight="1">
      <c r="A97" s="64" t="inlineStr">
        <is>
          <t>POZ NO: B.1.3      D4 akustik giydirme — bağımsız C profil karkas + 50 mm taşyünü + 12,5 mm akustik + 12,5 mm A tipi alçıpan (toplam 95 mm)</t>
        </is>
      </c>
    </row>
    <row r="98">
      <c r="A98" s="65" t="inlineStr">
        <is>
          <t>MAHAL:</t>
        </is>
      </c>
      <c r="B98" s="66" t="inlineStr">
        <is>
          <t>102 güney çeper</t>
        </is>
      </c>
      <c r="F98" s="65" t="inlineStr">
        <is>
          <t>BİRİM:</t>
        </is>
      </c>
      <c r="G98" s="67" t="inlineStr">
        <is>
          <t>m²</t>
        </is>
      </c>
      <c r="H98" s="65" t="inlineStr">
        <is>
          <t>PROJE REF:</t>
        </is>
      </c>
      <c r="I98" s="68" t="inlineStr">
        <is>
          <t>A-01…A-13</t>
        </is>
      </c>
    </row>
    <row r="99" ht="26" customHeight="1">
      <c r="A99" s="12" t="inlineStr">
        <is>
          <t>S.NO</t>
        </is>
      </c>
      <c r="B99" s="12" t="inlineStr">
        <is>
          <t>YAPILACAK İMALAT AÇIKLAMASI</t>
        </is>
      </c>
      <c r="C99" s="12" t="inlineStr">
        <is>
          <t>BİRİM</t>
        </is>
      </c>
      <c r="D99" s="12" t="inlineStr">
        <is>
          <t>ADET</t>
        </is>
      </c>
      <c r="E99" s="12" t="inlineStr">
        <is>
          <t>EN (m)</t>
        </is>
      </c>
      <c r="F99" s="12" t="inlineStr">
        <is>
          <t>BOY (m)</t>
        </is>
      </c>
      <c r="G99" s="12" t="inlineStr">
        <is>
          <t>YÜKSEKLİK (m)</t>
        </is>
      </c>
      <c r="H99" s="12" t="inlineStr">
        <is>
          <t>TOPLANAN (+)</t>
        </is>
      </c>
      <c r="I99" s="12" t="inlineStr">
        <is>
          <t>ÇIKARILAN (−)</t>
        </is>
      </c>
    </row>
    <row r="100">
      <c r="A100" s="69" t="n">
        <v>1</v>
      </c>
      <c r="B100" s="7" t="inlineStr">
        <is>
          <t>Arena güney duvarı (3,24 → 8,92)</t>
        </is>
      </c>
      <c r="C100" s="69" t="inlineStr">
        <is>
          <t>m²</t>
        </is>
      </c>
      <c r="D100" s="55" t="n">
        <v>1</v>
      </c>
      <c r="E100" s="55" t="n">
        <v>5.68</v>
      </c>
      <c r="F100" s="55" t="n"/>
      <c r="G100" s="55" t="n">
        <v>3.2</v>
      </c>
      <c r="H100" s="70" t="n">
        <v>18.176</v>
      </c>
      <c r="I100" s="71" t="n"/>
    </row>
    <row r="101">
      <c r="A101" s="80" t="n">
        <v>2</v>
      </c>
      <c r="B101" s="81" t="inlineStr">
        <is>
          <t>K02 acil çıkış doğraması minha</t>
        </is>
      </c>
      <c r="C101" s="80" t="inlineStr">
        <is>
          <t>m²</t>
        </is>
      </c>
      <c r="D101" s="82" t="n">
        <v>1</v>
      </c>
      <c r="E101" s="82" t="n">
        <v>1</v>
      </c>
      <c r="F101" s="82" t="n">
        <v>2.1</v>
      </c>
      <c r="G101" s="82" t="n"/>
      <c r="H101" s="83" t="n"/>
      <c r="I101" s="84" t="n">
        <v>2.1</v>
      </c>
    </row>
    <row r="102">
      <c r="A102" s="75" t="inlineStr">
        <is>
          <t>KISMİ YEKÜN</t>
        </is>
      </c>
      <c r="H102" s="76">
        <f>SUM(H100:H101)</f>
        <v/>
      </c>
      <c r="I102" s="77">
        <f>SUM(I100:I101)</f>
        <v/>
      </c>
    </row>
    <row r="103" ht="20" customHeight="1">
      <c r="A103" s="78" t="inlineStr">
        <is>
          <t>SAYFA YEKÜNÜ  ·  POZ B.1.3 METRAJI</t>
        </is>
      </c>
      <c r="H103" s="79">
        <f>H102-I102</f>
        <v/>
      </c>
    </row>
    <row r="105" ht="24" customHeight="1">
      <c r="A105" s="64" t="inlineStr">
        <is>
          <t>POZ NO: C.1.1      Çimento esaslı kendinden yayılan tesviye şapı 3 mm — Z1 bölgesi (bitmiş kot ±0,00 eşitlemesi)</t>
        </is>
      </c>
    </row>
    <row r="106">
      <c r="A106" s="65" t="inlineStr">
        <is>
          <t>MAHAL:</t>
        </is>
      </c>
      <c r="B106" s="66" t="inlineStr">
        <is>
          <t>102</t>
        </is>
      </c>
      <c r="F106" s="65" t="inlineStr">
        <is>
          <t>BİRİM:</t>
        </is>
      </c>
      <c r="G106" s="67" t="inlineStr">
        <is>
          <t>m²</t>
        </is>
      </c>
      <c r="H106" s="65" t="inlineStr">
        <is>
          <t>PROJE REF:</t>
        </is>
      </c>
      <c r="I106" s="68" t="inlineStr">
        <is>
          <t>A-01…A-13</t>
        </is>
      </c>
    </row>
    <row r="107" ht="26" customHeight="1">
      <c r="A107" s="12" t="inlineStr">
        <is>
          <t>S.NO</t>
        </is>
      </c>
      <c r="B107" s="12" t="inlineStr">
        <is>
          <t>YAPILACAK İMALAT AÇIKLAMASI</t>
        </is>
      </c>
      <c r="C107" s="12" t="inlineStr">
        <is>
          <t>BİRİM</t>
        </is>
      </c>
      <c r="D107" s="12" t="inlineStr">
        <is>
          <t>ADET</t>
        </is>
      </c>
      <c r="E107" s="12" t="inlineStr">
        <is>
          <t>EN (m)</t>
        </is>
      </c>
      <c r="F107" s="12" t="inlineStr">
        <is>
          <t>BOY (m)</t>
        </is>
      </c>
      <c r="G107" s="12" t="inlineStr">
        <is>
          <t>YÜKSEKLİK (m)</t>
        </is>
      </c>
      <c r="H107" s="12" t="inlineStr">
        <is>
          <t>TOPLANAN (+)</t>
        </is>
      </c>
      <c r="I107" s="12" t="inlineStr">
        <is>
          <t>ÇIKARILAN (−)</t>
        </is>
      </c>
    </row>
    <row r="108">
      <c r="A108" s="69" t="n">
        <v>1</v>
      </c>
      <c r="B108" s="7" t="inlineStr">
        <is>
          <t>102 ARENA · SERBEST AĞIRLIK</t>
        </is>
      </c>
      <c r="C108" s="69" t="inlineStr">
        <is>
          <t>m²</t>
        </is>
      </c>
      <c r="D108" s="55" t="n">
        <v>1</v>
      </c>
      <c r="E108" s="55" t="n"/>
      <c r="F108" s="55" t="n"/>
      <c r="G108" s="55" t="n"/>
      <c r="H108" s="70" t="n">
        <v>31.76</v>
      </c>
      <c r="I108" s="71" t="n"/>
    </row>
    <row r="109">
      <c r="A109" s="75" t="inlineStr">
        <is>
          <t>KISMİ YEKÜN</t>
        </is>
      </c>
      <c r="H109" s="76">
        <f>SUM(H108:H108)</f>
        <v/>
      </c>
      <c r="I109" s="77">
        <f>SUM(I108:I108)</f>
        <v/>
      </c>
    </row>
    <row r="110" ht="20" customHeight="1">
      <c r="A110" s="78" t="inlineStr">
        <is>
          <t>SAYFA YEKÜNÜ  ·  POZ C.1.1 METRAJI</t>
        </is>
      </c>
      <c r="H110" s="79">
        <f>H109-I109</f>
        <v/>
      </c>
    </row>
    <row r="112" ht="24" customHeight="1">
      <c r="A112" s="64" t="inlineStr">
        <is>
          <t>POZ NO: C.1.2      Çimento esaslı tesviye şapı 30 mm — Z2 bölgesi (bitmiş kot ±0,00 eşitlemesi)</t>
        </is>
      </c>
    </row>
    <row r="113">
      <c r="A113" s="65" t="inlineStr">
        <is>
          <t>MAHAL:</t>
        </is>
      </c>
      <c r="B113" s="66" t="inlineStr">
        <is>
          <t>103</t>
        </is>
      </c>
      <c r="F113" s="65" t="inlineStr">
        <is>
          <t>BİRİM:</t>
        </is>
      </c>
      <c r="G113" s="67" t="inlineStr">
        <is>
          <t>m²</t>
        </is>
      </c>
      <c r="H113" s="65" t="inlineStr">
        <is>
          <t>PROJE REF:</t>
        </is>
      </c>
      <c r="I113" s="68" t="inlineStr">
        <is>
          <t>A-01…A-13</t>
        </is>
      </c>
    </row>
    <row r="114" ht="26" customHeight="1">
      <c r="A114" s="12" t="inlineStr">
        <is>
          <t>S.NO</t>
        </is>
      </c>
      <c r="B114" s="12" t="inlineStr">
        <is>
          <t>YAPILACAK İMALAT AÇIKLAMASI</t>
        </is>
      </c>
      <c r="C114" s="12" t="inlineStr">
        <is>
          <t>BİRİM</t>
        </is>
      </c>
      <c r="D114" s="12" t="inlineStr">
        <is>
          <t>ADET</t>
        </is>
      </c>
      <c r="E114" s="12" t="inlineStr">
        <is>
          <t>EN (m)</t>
        </is>
      </c>
      <c r="F114" s="12" t="inlineStr">
        <is>
          <t>BOY (m)</t>
        </is>
      </c>
      <c r="G114" s="12" t="inlineStr">
        <is>
          <t>YÜKSEKLİK (m)</t>
        </is>
      </c>
      <c r="H114" s="12" t="inlineStr">
        <is>
          <t>TOPLANAN (+)</t>
        </is>
      </c>
      <c r="I114" s="12" t="inlineStr">
        <is>
          <t>ÇIKARILAN (−)</t>
        </is>
      </c>
    </row>
    <row r="115">
      <c r="A115" s="69" t="n">
        <v>1</v>
      </c>
      <c r="B115" s="7" t="inlineStr">
        <is>
          <t>103 FONKSİYONEL · KARDİYO</t>
        </is>
      </c>
      <c r="C115" s="69" t="inlineStr">
        <is>
          <t>m²</t>
        </is>
      </c>
      <c r="D115" s="55" t="n">
        <v>1</v>
      </c>
      <c r="E115" s="55" t="n"/>
      <c r="F115" s="55" t="n"/>
      <c r="G115" s="55" t="n"/>
      <c r="H115" s="70" t="n">
        <v>22.31</v>
      </c>
      <c r="I115" s="71" t="n"/>
    </row>
    <row r="116">
      <c r="A116" s="75" t="inlineStr">
        <is>
          <t>KISMİ YEKÜN</t>
        </is>
      </c>
      <c r="H116" s="76">
        <f>SUM(H115:H115)</f>
        <v/>
      </c>
      <c r="I116" s="77">
        <f>SUM(I115:I115)</f>
        <v/>
      </c>
    </row>
    <row r="117" ht="20" customHeight="1">
      <c r="A117" s="78" t="inlineStr">
        <is>
          <t>SAYFA YEKÜNÜ  ·  POZ C.1.2 METRAJI</t>
        </is>
      </c>
      <c r="H117" s="79">
        <f>H116-I116</f>
        <v/>
      </c>
    </row>
    <row r="119" ht="24" customHeight="1">
      <c r="A119" s="64" t="inlineStr">
        <is>
          <t>POZ NO: C.1.3      Çimento esaslı tesviye şapı 42 mm — Z3 bölgesi (bitmiş kot ±0,00 eşitlemesi)</t>
        </is>
      </c>
    </row>
    <row r="120">
      <c r="A120" s="65" t="inlineStr">
        <is>
          <t>MAHAL:</t>
        </is>
      </c>
      <c r="B120" s="66" t="inlineStr">
        <is>
          <t>101 · 104</t>
        </is>
      </c>
      <c r="F120" s="65" t="inlineStr">
        <is>
          <t>BİRİM:</t>
        </is>
      </c>
      <c r="G120" s="67" t="inlineStr">
        <is>
          <t>m²</t>
        </is>
      </c>
      <c r="H120" s="65" t="inlineStr">
        <is>
          <t>PROJE REF:</t>
        </is>
      </c>
      <c r="I120" s="68" t="inlineStr">
        <is>
          <t>A-01…A-13</t>
        </is>
      </c>
    </row>
    <row r="121" ht="26" customHeight="1">
      <c r="A121" s="12" t="inlineStr">
        <is>
          <t>S.NO</t>
        </is>
      </c>
      <c r="B121" s="12" t="inlineStr">
        <is>
          <t>YAPILACAK İMALAT AÇIKLAMASI</t>
        </is>
      </c>
      <c r="C121" s="12" t="inlineStr">
        <is>
          <t>BİRİM</t>
        </is>
      </c>
      <c r="D121" s="12" t="inlineStr">
        <is>
          <t>ADET</t>
        </is>
      </c>
      <c r="E121" s="12" t="inlineStr">
        <is>
          <t>EN (m)</t>
        </is>
      </c>
      <c r="F121" s="12" t="inlineStr">
        <is>
          <t>BOY (m)</t>
        </is>
      </c>
      <c r="G121" s="12" t="inlineStr">
        <is>
          <t>YÜKSEKLİK (m)</t>
        </is>
      </c>
      <c r="H121" s="12" t="inlineStr">
        <is>
          <t>TOPLANAN (+)</t>
        </is>
      </c>
      <c r="I121" s="12" t="inlineStr">
        <is>
          <t>ÇIKARILAN (−)</t>
        </is>
      </c>
    </row>
    <row r="122">
      <c r="A122" s="69" t="n">
        <v>1</v>
      </c>
      <c r="B122" s="7" t="inlineStr">
        <is>
          <t>101 GİRİŞ · BANKO · SİRKÜLASYON</t>
        </is>
      </c>
      <c r="C122" s="69" t="inlineStr">
        <is>
          <t>m²</t>
        </is>
      </c>
      <c r="D122" s="55" t="n">
        <v>1</v>
      </c>
      <c r="E122" s="55" t="n"/>
      <c r="F122" s="55" t="n"/>
      <c r="G122" s="55" t="n"/>
      <c r="H122" s="70" t="n">
        <v>15.65</v>
      </c>
      <c r="I122" s="71" t="n"/>
    </row>
    <row r="123">
      <c r="A123" s="72" t="n">
        <v>2</v>
      </c>
      <c r="B123" s="48" t="inlineStr">
        <is>
          <t>104 DİNLENME SALONU</t>
        </is>
      </c>
      <c r="C123" s="72" t="inlineStr">
        <is>
          <t>m²</t>
        </is>
      </c>
      <c r="D123" s="59" t="n">
        <v>1</v>
      </c>
      <c r="E123" s="59" t="n"/>
      <c r="F123" s="59" t="n"/>
      <c r="G123" s="59" t="n"/>
      <c r="H123" s="73" t="n">
        <v>17.33</v>
      </c>
      <c r="I123" s="74" t="n"/>
    </row>
    <row r="124">
      <c r="A124" s="75" t="inlineStr">
        <is>
          <t>KISMİ YEKÜN</t>
        </is>
      </c>
      <c r="H124" s="76">
        <f>SUM(H122:H123)</f>
        <v/>
      </c>
      <c r="I124" s="77">
        <f>SUM(I122:I123)</f>
        <v/>
      </c>
    </row>
    <row r="125" ht="20" customHeight="1">
      <c r="A125" s="78" t="inlineStr">
        <is>
          <t>SAYFA YEKÜNÜ  ·  POZ C.1.3 METRAJI</t>
        </is>
      </c>
      <c r="H125" s="79">
        <f>H124-I124</f>
        <v/>
      </c>
    </row>
    <row r="127" ht="24" customHeight="1">
      <c r="A127" s="64" t="inlineStr">
        <is>
          <t>POZ NO: C.1.4      Çimento esaslı tesviye şapı 38 mm — Z5 bölgesi (bitmiş kot ±0,00 eşitlemesi)</t>
        </is>
      </c>
    </row>
    <row r="128">
      <c r="A128" s="65" t="inlineStr">
        <is>
          <t>MAHAL:</t>
        </is>
      </c>
      <c r="B128" s="66" t="inlineStr">
        <is>
          <t>105 · 108</t>
        </is>
      </c>
      <c r="F128" s="65" t="inlineStr">
        <is>
          <t>BİRİM:</t>
        </is>
      </c>
      <c r="G128" s="67" t="inlineStr">
        <is>
          <t>m²</t>
        </is>
      </c>
      <c r="H128" s="65" t="inlineStr">
        <is>
          <t>PROJE REF:</t>
        </is>
      </c>
      <c r="I128" s="68" t="inlineStr">
        <is>
          <t>A-01…A-13</t>
        </is>
      </c>
    </row>
    <row r="129" ht="26" customHeight="1">
      <c r="A129" s="12" t="inlineStr">
        <is>
          <t>S.NO</t>
        </is>
      </c>
      <c r="B129" s="12" t="inlineStr">
        <is>
          <t>YAPILACAK İMALAT AÇIKLAMASI</t>
        </is>
      </c>
      <c r="C129" s="12" t="inlineStr">
        <is>
          <t>BİRİM</t>
        </is>
      </c>
      <c r="D129" s="12" t="inlineStr">
        <is>
          <t>ADET</t>
        </is>
      </c>
      <c r="E129" s="12" t="inlineStr">
        <is>
          <t>EN (m)</t>
        </is>
      </c>
      <c r="F129" s="12" t="inlineStr">
        <is>
          <t>BOY (m)</t>
        </is>
      </c>
      <c r="G129" s="12" t="inlineStr">
        <is>
          <t>YÜKSEKLİK (m)</t>
        </is>
      </c>
      <c r="H129" s="12" t="inlineStr">
        <is>
          <t>TOPLANAN (+)</t>
        </is>
      </c>
      <c r="I129" s="12" t="inlineStr">
        <is>
          <t>ÇIKARILAN (−)</t>
        </is>
      </c>
    </row>
    <row r="130">
      <c r="A130" s="69" t="n">
        <v>1</v>
      </c>
      <c r="B130" s="7" t="inlineStr">
        <is>
          <t>105 ERKEK SOYUNMA</t>
        </is>
      </c>
      <c r="C130" s="69" t="inlineStr">
        <is>
          <t>m²</t>
        </is>
      </c>
      <c r="D130" s="55" t="n">
        <v>1</v>
      </c>
      <c r="E130" s="55" t="n"/>
      <c r="F130" s="55" t="n"/>
      <c r="G130" s="55" t="n"/>
      <c r="H130" s="70" t="n">
        <v>4.48</v>
      </c>
      <c r="I130" s="71" t="n"/>
    </row>
    <row r="131">
      <c r="A131" s="72" t="n">
        <v>2</v>
      </c>
      <c r="B131" s="48" t="inlineStr">
        <is>
          <t>108 KADIN SOYUNMA</t>
        </is>
      </c>
      <c r="C131" s="72" t="inlineStr">
        <is>
          <t>m²</t>
        </is>
      </c>
      <c r="D131" s="59" t="n">
        <v>1</v>
      </c>
      <c r="E131" s="59" t="n"/>
      <c r="F131" s="59" t="n"/>
      <c r="G131" s="59" t="n"/>
      <c r="H131" s="73" t="n">
        <v>5.59</v>
      </c>
      <c r="I131" s="74" t="n"/>
    </row>
    <row r="132">
      <c r="A132" s="75" t="inlineStr">
        <is>
          <t>KISMİ YEKÜN</t>
        </is>
      </c>
      <c r="H132" s="76">
        <f>SUM(H130:H131)</f>
        <v/>
      </c>
      <c r="I132" s="77">
        <f>SUM(I130:I131)</f>
        <v/>
      </c>
    </row>
    <row r="133" ht="20" customHeight="1">
      <c r="A133" s="78" t="inlineStr">
        <is>
          <t>SAYFA YEKÜNÜ  ·  POZ C.1.4 METRAJI</t>
        </is>
      </c>
      <c r="H133" s="79">
        <f>H132-I132</f>
        <v/>
      </c>
    </row>
    <row r="135" ht="24" customHeight="1">
      <c r="A135" s="64" t="inlineStr">
        <is>
          <t>POZ NO: C.1.5      Islak hacim tesisat şapı + süzgeğe %1,5 eğimli eğim şapı (ort. 40 mm)</t>
        </is>
      </c>
    </row>
    <row r="136">
      <c r="A136" s="65" t="inlineStr">
        <is>
          <t>MAHAL:</t>
        </is>
      </c>
      <c r="B136" s="66" t="inlineStr">
        <is>
          <t>106·107·109·110</t>
        </is>
      </c>
      <c r="F136" s="65" t="inlineStr">
        <is>
          <t>BİRİM:</t>
        </is>
      </c>
      <c r="G136" s="67" t="inlineStr">
        <is>
          <t>m²</t>
        </is>
      </c>
      <c r="H136" s="65" t="inlineStr">
        <is>
          <t>PROJE REF:</t>
        </is>
      </c>
      <c r="I136" s="68" t="inlineStr">
        <is>
          <t>A-01…A-13</t>
        </is>
      </c>
    </row>
    <row r="137" ht="26" customHeight="1">
      <c r="A137" s="12" t="inlineStr">
        <is>
          <t>S.NO</t>
        </is>
      </c>
      <c r="B137" s="12" t="inlineStr">
        <is>
          <t>YAPILACAK İMALAT AÇIKLAMASI</t>
        </is>
      </c>
      <c r="C137" s="12" t="inlineStr">
        <is>
          <t>BİRİM</t>
        </is>
      </c>
      <c r="D137" s="12" t="inlineStr">
        <is>
          <t>ADET</t>
        </is>
      </c>
      <c r="E137" s="12" t="inlineStr">
        <is>
          <t>EN (m)</t>
        </is>
      </c>
      <c r="F137" s="12" t="inlineStr">
        <is>
          <t>BOY (m)</t>
        </is>
      </c>
      <c r="G137" s="12" t="inlineStr">
        <is>
          <t>YÜKSEKLİK (m)</t>
        </is>
      </c>
      <c r="H137" s="12" t="inlineStr">
        <is>
          <t>TOPLANAN (+)</t>
        </is>
      </c>
      <c r="I137" s="12" t="inlineStr">
        <is>
          <t>ÇIKARILAN (−)</t>
        </is>
      </c>
    </row>
    <row r="138">
      <c r="A138" s="69" t="n">
        <v>1</v>
      </c>
      <c r="B138" s="7" t="inlineStr">
        <is>
          <t>106 ERKEK DUŞ</t>
        </is>
      </c>
      <c r="C138" s="69" t="inlineStr">
        <is>
          <t>m²</t>
        </is>
      </c>
      <c r="D138" s="55" t="n">
        <v>1</v>
      </c>
      <c r="E138" s="55" t="n"/>
      <c r="F138" s="55" t="n"/>
      <c r="G138" s="55" t="n"/>
      <c r="H138" s="70" t="n">
        <v>1.76</v>
      </c>
      <c r="I138" s="71" t="n"/>
    </row>
    <row r="139">
      <c r="A139" s="72" t="n">
        <v>2</v>
      </c>
      <c r="B139" s="48" t="inlineStr">
        <is>
          <t>107 ERKEK WC</t>
        </is>
      </c>
      <c r="C139" s="72" t="inlineStr">
        <is>
          <t>m²</t>
        </is>
      </c>
      <c r="D139" s="59" t="n">
        <v>1</v>
      </c>
      <c r="E139" s="59" t="n"/>
      <c r="F139" s="59" t="n"/>
      <c r="G139" s="59" t="n"/>
      <c r="H139" s="73" t="n">
        <v>1.75</v>
      </c>
      <c r="I139" s="74" t="n"/>
    </row>
    <row r="140">
      <c r="A140" s="69" t="n">
        <v>3</v>
      </c>
      <c r="B140" s="7" t="inlineStr">
        <is>
          <t>109 KADIN DUŞ</t>
        </is>
      </c>
      <c r="C140" s="69" t="inlineStr">
        <is>
          <t>m²</t>
        </is>
      </c>
      <c r="D140" s="55" t="n">
        <v>1</v>
      </c>
      <c r="E140" s="55" t="n"/>
      <c r="F140" s="55" t="n"/>
      <c r="G140" s="55" t="n"/>
      <c r="H140" s="70" t="n">
        <v>1.39</v>
      </c>
      <c r="I140" s="71" t="n"/>
    </row>
    <row r="141">
      <c r="A141" s="72" t="n">
        <v>4</v>
      </c>
      <c r="B141" s="48" t="inlineStr">
        <is>
          <t>110 KADIN WC</t>
        </is>
      </c>
      <c r="C141" s="72" t="inlineStr">
        <is>
          <t>m²</t>
        </is>
      </c>
      <c r="D141" s="59" t="n">
        <v>1</v>
      </c>
      <c r="E141" s="59" t="n"/>
      <c r="F141" s="59" t="n"/>
      <c r="G141" s="59" t="n"/>
      <c r="H141" s="73" t="n">
        <v>1.29</v>
      </c>
      <c r="I141" s="74" t="n"/>
    </row>
    <row r="142">
      <c r="A142" s="75" t="inlineStr">
        <is>
          <t>KISMİ YEKÜN</t>
        </is>
      </c>
      <c r="H142" s="76">
        <f>SUM(H138:H141)</f>
        <v/>
      </c>
      <c r="I142" s="77">
        <f>SUM(I138:I141)</f>
        <v/>
      </c>
    </row>
    <row r="143" ht="20" customHeight="1">
      <c r="A143" s="78" t="inlineStr">
        <is>
          <t>SAYFA YEKÜNÜ  ·  POZ C.1.5 METRAJI</t>
        </is>
      </c>
      <c r="H143" s="79">
        <f>H142-I142</f>
        <v/>
      </c>
    </row>
    <row r="145" ht="24" customHeight="1">
      <c r="A145" s="64" t="inlineStr">
        <is>
          <t>POZ NO: D.1.1      Z1 — Granül kauçuk karo 1000×1000 mm, 40 mm, EPDM %10 taneli, Shore A 55±5 (EN 14041 · Bfl-s1) — puzzle kilitli kuru derz, çeperde 5 mm genleşme boşluğu</t>
        </is>
      </c>
    </row>
    <row r="146">
      <c r="A146" s="65" t="inlineStr">
        <is>
          <t>MAHAL:</t>
        </is>
      </c>
      <c r="B146" s="66" t="inlineStr">
        <is>
          <t>102</t>
        </is>
      </c>
      <c r="F146" s="65" t="inlineStr">
        <is>
          <t>BİRİM:</t>
        </is>
      </c>
      <c r="G146" s="67" t="inlineStr">
        <is>
          <t>m²</t>
        </is>
      </c>
      <c r="H146" s="65" t="inlineStr">
        <is>
          <t>PROJE REF:</t>
        </is>
      </c>
      <c r="I146" s="68" t="inlineStr">
        <is>
          <t>A-01…A-13</t>
        </is>
      </c>
    </row>
    <row r="147" ht="26" customHeight="1">
      <c r="A147" s="12" t="inlineStr">
        <is>
          <t>S.NO</t>
        </is>
      </c>
      <c r="B147" s="12" t="inlineStr">
        <is>
          <t>YAPILACAK İMALAT AÇIKLAMASI</t>
        </is>
      </c>
      <c r="C147" s="12" t="inlineStr">
        <is>
          <t>BİRİM</t>
        </is>
      </c>
      <c r="D147" s="12" t="inlineStr">
        <is>
          <t>ADET</t>
        </is>
      </c>
      <c r="E147" s="12" t="inlineStr">
        <is>
          <t>EN (m)</t>
        </is>
      </c>
      <c r="F147" s="12" t="inlineStr">
        <is>
          <t>BOY (m)</t>
        </is>
      </c>
      <c r="G147" s="12" t="inlineStr">
        <is>
          <t>YÜKSEKLİK (m)</t>
        </is>
      </c>
      <c r="H147" s="12" t="inlineStr">
        <is>
          <t>TOPLANAN (+)</t>
        </is>
      </c>
      <c r="I147" s="12" t="inlineStr">
        <is>
          <t>ÇIKARILAN (−)</t>
        </is>
      </c>
    </row>
    <row r="148">
      <c r="A148" s="69" t="n">
        <v>1</v>
      </c>
      <c r="B148" s="7" t="inlineStr">
        <is>
          <t>102 ARENA · SERBEST AĞIRLIK</t>
        </is>
      </c>
      <c r="C148" s="69" t="inlineStr">
        <is>
          <t>m²</t>
        </is>
      </c>
      <c r="D148" s="55" t="n">
        <v>1</v>
      </c>
      <c r="E148" s="55" t="n"/>
      <c r="F148" s="55" t="n"/>
      <c r="G148" s="55" t="n"/>
      <c r="H148" s="70" t="n">
        <v>31.76</v>
      </c>
      <c r="I148" s="71" t="n"/>
    </row>
    <row r="149">
      <c r="A149" s="75" t="inlineStr">
        <is>
          <t>KISMİ YEKÜN</t>
        </is>
      </c>
      <c r="H149" s="76">
        <f>SUM(H148:H148)</f>
        <v/>
      </c>
      <c r="I149" s="77">
        <f>SUM(I148:I148)</f>
        <v/>
      </c>
    </row>
    <row r="150" ht="20" customHeight="1">
      <c r="A150" s="78" t="inlineStr">
        <is>
          <t>SAYFA YEKÜNÜ  ·  POZ D.1.1 METRAJI</t>
        </is>
      </c>
      <c r="H150" s="79">
        <f>H149-I149</f>
        <v/>
      </c>
    </row>
    <row r="152" ht="24" customHeight="1">
      <c r="A152" s="64" t="inlineStr">
        <is>
          <t>POZ NO: D.1.2      Z2 — Granül kauçuk karo 1000×1000 mm, 20 mm, Shore A 60 (EN 14041 · Bfl-s1) — puzzle kilitli kuru derz</t>
        </is>
      </c>
    </row>
    <row r="153">
      <c r="A153" s="65" t="inlineStr">
        <is>
          <t>MAHAL:</t>
        </is>
      </c>
      <c r="B153" s="66" t="inlineStr">
        <is>
          <t>103</t>
        </is>
      </c>
      <c r="F153" s="65" t="inlineStr">
        <is>
          <t>BİRİM:</t>
        </is>
      </c>
      <c r="G153" s="67" t="inlineStr">
        <is>
          <t>m²</t>
        </is>
      </c>
      <c r="H153" s="65" t="inlineStr">
        <is>
          <t>PROJE REF:</t>
        </is>
      </c>
      <c r="I153" s="68" t="inlineStr">
        <is>
          <t>A-01…A-13</t>
        </is>
      </c>
    </row>
    <row r="154" ht="26" customHeight="1">
      <c r="A154" s="12" t="inlineStr">
        <is>
          <t>S.NO</t>
        </is>
      </c>
      <c r="B154" s="12" t="inlineStr">
        <is>
          <t>YAPILACAK İMALAT AÇIKLAMASI</t>
        </is>
      </c>
      <c r="C154" s="12" t="inlineStr">
        <is>
          <t>BİRİM</t>
        </is>
      </c>
      <c r="D154" s="12" t="inlineStr">
        <is>
          <t>ADET</t>
        </is>
      </c>
      <c r="E154" s="12" t="inlineStr">
        <is>
          <t>EN (m)</t>
        </is>
      </c>
      <c r="F154" s="12" t="inlineStr">
        <is>
          <t>BOY (m)</t>
        </is>
      </c>
      <c r="G154" s="12" t="inlineStr">
        <is>
          <t>YÜKSEKLİK (m)</t>
        </is>
      </c>
      <c r="H154" s="12" t="inlineStr">
        <is>
          <t>TOPLANAN (+)</t>
        </is>
      </c>
      <c r="I154" s="12" t="inlineStr">
        <is>
          <t>ÇIKARILAN (−)</t>
        </is>
      </c>
    </row>
    <row r="155">
      <c r="A155" s="69" t="n">
        <v>1</v>
      </c>
      <c r="B155" s="7" t="inlineStr">
        <is>
          <t>103 FONKSİYONEL · KARDİYO</t>
        </is>
      </c>
      <c r="C155" s="69" t="inlineStr">
        <is>
          <t>m²</t>
        </is>
      </c>
      <c r="D155" s="55" t="n">
        <v>1</v>
      </c>
      <c r="E155" s="55" t="n"/>
      <c r="F155" s="55" t="n"/>
      <c r="G155" s="55" t="n"/>
      <c r="H155" s="70" t="n">
        <v>22.31</v>
      </c>
      <c r="I155" s="71" t="n"/>
    </row>
    <row r="156">
      <c r="A156" s="75" t="inlineStr">
        <is>
          <t>KISMİ YEKÜN</t>
        </is>
      </c>
      <c r="H156" s="76">
        <f>SUM(H155:H155)</f>
        <v/>
      </c>
      <c r="I156" s="77">
        <f>SUM(I155:I155)</f>
        <v/>
      </c>
    </row>
    <row r="157" ht="20" customHeight="1">
      <c r="A157" s="78" t="inlineStr">
        <is>
          <t>SAYFA YEKÜNÜ  ·  POZ D.1.2 METRAJI</t>
        </is>
      </c>
      <c r="H157" s="79">
        <f>H156-I156</f>
        <v/>
      </c>
    </row>
    <row r="159" ht="24" customHeight="1">
      <c r="A159" s="64" t="inlineStr">
        <is>
          <t>POZ NO: D.1.3      Z3 — SPC klik LVT 5 mm, 0,55 mm aşınma tabakası (EN ISO 10874 sınıf 33 / AC5) + 2 mm IXPE akustik şilte — çeperde 8 mm genleşme boşluğu</t>
        </is>
      </c>
    </row>
    <row r="160">
      <c r="A160" s="65" t="inlineStr">
        <is>
          <t>MAHAL:</t>
        </is>
      </c>
      <c r="B160" s="66" t="inlineStr">
        <is>
          <t>101 · 104</t>
        </is>
      </c>
      <c r="F160" s="65" t="inlineStr">
        <is>
          <t>BİRİM:</t>
        </is>
      </c>
      <c r="G160" s="67" t="inlineStr">
        <is>
          <t>m²</t>
        </is>
      </c>
      <c r="H160" s="65" t="inlineStr">
        <is>
          <t>PROJE REF:</t>
        </is>
      </c>
      <c r="I160" s="68" t="inlineStr">
        <is>
          <t>A-01…A-13</t>
        </is>
      </c>
    </row>
    <row r="161" ht="26" customHeight="1">
      <c r="A161" s="12" t="inlineStr">
        <is>
          <t>S.NO</t>
        </is>
      </c>
      <c r="B161" s="12" t="inlineStr">
        <is>
          <t>YAPILACAK İMALAT AÇIKLAMASI</t>
        </is>
      </c>
      <c r="C161" s="12" t="inlineStr">
        <is>
          <t>BİRİM</t>
        </is>
      </c>
      <c r="D161" s="12" t="inlineStr">
        <is>
          <t>ADET</t>
        </is>
      </c>
      <c r="E161" s="12" t="inlineStr">
        <is>
          <t>EN (m)</t>
        </is>
      </c>
      <c r="F161" s="12" t="inlineStr">
        <is>
          <t>BOY (m)</t>
        </is>
      </c>
      <c r="G161" s="12" t="inlineStr">
        <is>
          <t>YÜKSEKLİK (m)</t>
        </is>
      </c>
      <c r="H161" s="12" t="inlineStr">
        <is>
          <t>TOPLANAN (+)</t>
        </is>
      </c>
      <c r="I161" s="12" t="inlineStr">
        <is>
          <t>ÇIKARILAN (−)</t>
        </is>
      </c>
    </row>
    <row r="162">
      <c r="A162" s="69" t="n">
        <v>1</v>
      </c>
      <c r="B162" s="7" t="inlineStr">
        <is>
          <t>101 GİRİŞ · BANKO · SİRKÜLASYON</t>
        </is>
      </c>
      <c r="C162" s="69" t="inlineStr">
        <is>
          <t>m²</t>
        </is>
      </c>
      <c r="D162" s="55" t="n">
        <v>1</v>
      </c>
      <c r="E162" s="55" t="n"/>
      <c r="F162" s="55" t="n"/>
      <c r="G162" s="55" t="n"/>
      <c r="H162" s="70" t="n">
        <v>15.65</v>
      </c>
      <c r="I162" s="71" t="n"/>
    </row>
    <row r="163">
      <c r="A163" s="72" t="n">
        <v>2</v>
      </c>
      <c r="B163" s="48" t="inlineStr">
        <is>
          <t>104 DİNLENME SALONU</t>
        </is>
      </c>
      <c r="C163" s="72" t="inlineStr">
        <is>
          <t>m²</t>
        </is>
      </c>
      <c r="D163" s="59" t="n">
        <v>1</v>
      </c>
      <c r="E163" s="59" t="n"/>
      <c r="F163" s="59" t="n"/>
      <c r="G163" s="59" t="n"/>
      <c r="H163" s="73" t="n">
        <v>17.33</v>
      </c>
      <c r="I163" s="74" t="n"/>
    </row>
    <row r="164">
      <c r="A164" s="75" t="inlineStr">
        <is>
          <t>KISMİ YEKÜN</t>
        </is>
      </c>
      <c r="H164" s="76">
        <f>SUM(H162:H163)</f>
        <v/>
      </c>
      <c r="I164" s="77">
        <f>SUM(I162:I163)</f>
        <v/>
      </c>
    </row>
    <row r="165" ht="20" customHeight="1">
      <c r="A165" s="78" t="inlineStr">
        <is>
          <t>SAYFA YEKÜNÜ  ·  POZ D.1.3 METRAJI</t>
        </is>
      </c>
      <c r="H165" s="79">
        <f>H164-I164</f>
        <v/>
      </c>
    </row>
    <row r="167" ht="24" customHeight="1">
      <c r="A167" s="64" t="inlineStr">
        <is>
          <t>POZ NO: D.1.4      Z4 — Porselen seramik 300×300 mm, R11 / B kaymazlık (EN 16165) + C2TE S1 yapıştırıcı</t>
        </is>
      </c>
    </row>
    <row r="168">
      <c r="A168" s="65" t="inlineStr">
        <is>
          <t>MAHAL:</t>
        </is>
      </c>
      <c r="B168" s="66" t="inlineStr">
        <is>
          <t>106 · 107 · 109 · 110</t>
        </is>
      </c>
      <c r="F168" s="65" t="inlineStr">
        <is>
          <t>BİRİM:</t>
        </is>
      </c>
      <c r="G168" s="67" t="inlineStr">
        <is>
          <t>m²</t>
        </is>
      </c>
      <c r="H168" s="65" t="inlineStr">
        <is>
          <t>PROJE REF:</t>
        </is>
      </c>
      <c r="I168" s="68" t="inlineStr">
        <is>
          <t>A-01…A-13</t>
        </is>
      </c>
    </row>
    <row r="169" ht="26" customHeight="1">
      <c r="A169" s="12" t="inlineStr">
        <is>
          <t>S.NO</t>
        </is>
      </c>
      <c r="B169" s="12" t="inlineStr">
        <is>
          <t>YAPILACAK İMALAT AÇIKLAMASI</t>
        </is>
      </c>
      <c r="C169" s="12" t="inlineStr">
        <is>
          <t>BİRİM</t>
        </is>
      </c>
      <c r="D169" s="12" t="inlineStr">
        <is>
          <t>ADET</t>
        </is>
      </c>
      <c r="E169" s="12" t="inlineStr">
        <is>
          <t>EN (m)</t>
        </is>
      </c>
      <c r="F169" s="12" t="inlineStr">
        <is>
          <t>BOY (m)</t>
        </is>
      </c>
      <c r="G169" s="12" t="inlineStr">
        <is>
          <t>YÜKSEKLİK (m)</t>
        </is>
      </c>
      <c r="H169" s="12" t="inlineStr">
        <is>
          <t>TOPLANAN (+)</t>
        </is>
      </c>
      <c r="I169" s="12" t="inlineStr">
        <is>
          <t>ÇIKARILAN (−)</t>
        </is>
      </c>
    </row>
    <row r="170">
      <c r="A170" s="69" t="n">
        <v>1</v>
      </c>
      <c r="B170" s="7" t="inlineStr">
        <is>
          <t>106 ERKEK DUŞ</t>
        </is>
      </c>
      <c r="C170" s="69" t="inlineStr">
        <is>
          <t>m²</t>
        </is>
      </c>
      <c r="D170" s="55" t="n">
        <v>1</v>
      </c>
      <c r="E170" s="55" t="n"/>
      <c r="F170" s="55" t="n"/>
      <c r="G170" s="55" t="n"/>
      <c r="H170" s="70" t="n">
        <v>1.76</v>
      </c>
      <c r="I170" s="71" t="n"/>
    </row>
    <row r="171">
      <c r="A171" s="72" t="n">
        <v>2</v>
      </c>
      <c r="B171" s="48" t="inlineStr">
        <is>
          <t>107 ERKEK WC</t>
        </is>
      </c>
      <c r="C171" s="72" t="inlineStr">
        <is>
          <t>m²</t>
        </is>
      </c>
      <c r="D171" s="59" t="n">
        <v>1</v>
      </c>
      <c r="E171" s="59" t="n"/>
      <c r="F171" s="59" t="n"/>
      <c r="G171" s="59" t="n"/>
      <c r="H171" s="73" t="n">
        <v>1.75</v>
      </c>
      <c r="I171" s="74" t="n"/>
    </row>
    <row r="172">
      <c r="A172" s="69" t="n">
        <v>3</v>
      </c>
      <c r="B172" s="7" t="inlineStr">
        <is>
          <t>109 KADIN DUŞ</t>
        </is>
      </c>
      <c r="C172" s="69" t="inlineStr">
        <is>
          <t>m²</t>
        </is>
      </c>
      <c r="D172" s="55" t="n">
        <v>1</v>
      </c>
      <c r="E172" s="55" t="n"/>
      <c r="F172" s="55" t="n"/>
      <c r="G172" s="55" t="n"/>
      <c r="H172" s="70" t="n">
        <v>1.39</v>
      </c>
      <c r="I172" s="71" t="n"/>
    </row>
    <row r="173">
      <c r="A173" s="72" t="n">
        <v>4</v>
      </c>
      <c r="B173" s="48" t="inlineStr">
        <is>
          <t>110 KADIN WC</t>
        </is>
      </c>
      <c r="C173" s="72" t="inlineStr">
        <is>
          <t>m²</t>
        </is>
      </c>
      <c r="D173" s="59" t="n">
        <v>1</v>
      </c>
      <c r="E173" s="59" t="n"/>
      <c r="F173" s="59" t="n"/>
      <c r="G173" s="59" t="n"/>
      <c r="H173" s="73" t="n">
        <v>1.29</v>
      </c>
      <c r="I173" s="74" t="n"/>
    </row>
    <row r="174">
      <c r="A174" s="75" t="inlineStr">
        <is>
          <t>KISMİ YEKÜN</t>
        </is>
      </c>
      <c r="H174" s="76">
        <f>SUM(H170:H173)</f>
        <v/>
      </c>
      <c r="I174" s="77">
        <f>SUM(I170:I173)</f>
        <v/>
      </c>
    </row>
    <row r="175" ht="20" customHeight="1">
      <c r="A175" s="78" t="inlineStr">
        <is>
          <t>SAYFA YEKÜNÜ  ·  POZ D.1.4 METRAJI</t>
        </is>
      </c>
      <c r="H175" s="79">
        <f>H174-I174</f>
        <v/>
      </c>
    </row>
    <row r="177" ht="24" customHeight="1">
      <c r="A177" s="64" t="inlineStr">
        <is>
          <t>POZ NO: D.1.5      Z5 — Porselen seramik 600×600 mm, R10, rektifiye, 2 mm derz (EN 14411 BIa) + C2TE yapıştırıcı</t>
        </is>
      </c>
    </row>
    <row r="178">
      <c r="A178" s="65" t="inlineStr">
        <is>
          <t>MAHAL:</t>
        </is>
      </c>
      <c r="B178" s="66" t="inlineStr">
        <is>
          <t>105 · 108</t>
        </is>
      </c>
      <c r="F178" s="65" t="inlineStr">
        <is>
          <t>BİRİM:</t>
        </is>
      </c>
      <c r="G178" s="67" t="inlineStr">
        <is>
          <t>m²</t>
        </is>
      </c>
      <c r="H178" s="65" t="inlineStr">
        <is>
          <t>PROJE REF:</t>
        </is>
      </c>
      <c r="I178" s="68" t="inlineStr">
        <is>
          <t>A-01…A-13</t>
        </is>
      </c>
    </row>
    <row r="179" ht="26" customHeight="1">
      <c r="A179" s="12" t="inlineStr">
        <is>
          <t>S.NO</t>
        </is>
      </c>
      <c r="B179" s="12" t="inlineStr">
        <is>
          <t>YAPILACAK İMALAT AÇIKLAMASI</t>
        </is>
      </c>
      <c r="C179" s="12" t="inlineStr">
        <is>
          <t>BİRİM</t>
        </is>
      </c>
      <c r="D179" s="12" t="inlineStr">
        <is>
          <t>ADET</t>
        </is>
      </c>
      <c r="E179" s="12" t="inlineStr">
        <is>
          <t>EN (m)</t>
        </is>
      </c>
      <c r="F179" s="12" t="inlineStr">
        <is>
          <t>BOY (m)</t>
        </is>
      </c>
      <c r="G179" s="12" t="inlineStr">
        <is>
          <t>YÜKSEKLİK (m)</t>
        </is>
      </c>
      <c r="H179" s="12" t="inlineStr">
        <is>
          <t>TOPLANAN (+)</t>
        </is>
      </c>
      <c r="I179" s="12" t="inlineStr">
        <is>
          <t>ÇIKARILAN (−)</t>
        </is>
      </c>
    </row>
    <row r="180">
      <c r="A180" s="69" t="n">
        <v>1</v>
      </c>
      <c r="B180" s="7" t="inlineStr">
        <is>
          <t>105 ERKEK SOYUNMA</t>
        </is>
      </c>
      <c r="C180" s="69" t="inlineStr">
        <is>
          <t>m²</t>
        </is>
      </c>
      <c r="D180" s="55" t="n">
        <v>1</v>
      </c>
      <c r="E180" s="55" t="n"/>
      <c r="F180" s="55" t="n"/>
      <c r="G180" s="55" t="n"/>
      <c r="H180" s="70" t="n">
        <v>4.48</v>
      </c>
      <c r="I180" s="71" t="n"/>
    </row>
    <row r="181">
      <c r="A181" s="72" t="n">
        <v>2</v>
      </c>
      <c r="B181" s="48" t="inlineStr">
        <is>
          <t>108 KADIN SOYUNMA</t>
        </is>
      </c>
      <c r="C181" s="72" t="inlineStr">
        <is>
          <t>m²</t>
        </is>
      </c>
      <c r="D181" s="59" t="n">
        <v>1</v>
      </c>
      <c r="E181" s="59" t="n"/>
      <c r="F181" s="59" t="n"/>
      <c r="G181" s="59" t="n"/>
      <c r="H181" s="73" t="n">
        <v>5.59</v>
      </c>
      <c r="I181" s="74" t="n"/>
    </row>
    <row r="182">
      <c r="A182" s="75" t="inlineStr">
        <is>
          <t>KISMİ YEKÜN</t>
        </is>
      </c>
      <c r="H182" s="76">
        <f>SUM(H180:H181)</f>
        <v/>
      </c>
      <c r="I182" s="77">
        <f>SUM(I180:I181)</f>
        <v/>
      </c>
    </row>
    <row r="183" ht="20" customHeight="1">
      <c r="A183" s="78" t="inlineStr">
        <is>
          <t>SAYFA YEKÜNÜ  ·  POZ D.1.5 METRAJI</t>
        </is>
      </c>
      <c r="H183" s="79">
        <f>H182-I182</f>
        <v/>
      </c>
    </row>
    <row r="185" ht="24" customHeight="1">
      <c r="A185" s="64" t="inlineStr">
        <is>
          <t>POZ NO: D.1.6      Kauçuk titreşim yalıtım matı 10 mm (SBR granül 700 kg/m³) — duvara 50 mm yukarı dönüşlü yüzer döşeme</t>
        </is>
      </c>
    </row>
    <row r="186">
      <c r="A186" s="65" t="inlineStr">
        <is>
          <t>MAHAL:</t>
        </is>
      </c>
      <c r="B186" s="66" t="inlineStr">
        <is>
          <t>102</t>
        </is>
      </c>
      <c r="F186" s="65" t="inlineStr">
        <is>
          <t>BİRİM:</t>
        </is>
      </c>
      <c r="G186" s="67" t="inlineStr">
        <is>
          <t>m²</t>
        </is>
      </c>
      <c r="H186" s="65" t="inlineStr">
        <is>
          <t>PROJE REF:</t>
        </is>
      </c>
      <c r="I186" s="68" t="inlineStr">
        <is>
          <t>A-01…A-13</t>
        </is>
      </c>
    </row>
    <row r="187" ht="26" customHeight="1">
      <c r="A187" s="12" t="inlineStr">
        <is>
          <t>S.NO</t>
        </is>
      </c>
      <c r="B187" s="12" t="inlineStr">
        <is>
          <t>YAPILACAK İMALAT AÇIKLAMASI</t>
        </is>
      </c>
      <c r="C187" s="12" t="inlineStr">
        <is>
          <t>BİRİM</t>
        </is>
      </c>
      <c r="D187" s="12" t="inlineStr">
        <is>
          <t>ADET</t>
        </is>
      </c>
      <c r="E187" s="12" t="inlineStr">
        <is>
          <t>EN (m)</t>
        </is>
      </c>
      <c r="F187" s="12" t="inlineStr">
        <is>
          <t>BOY (m)</t>
        </is>
      </c>
      <c r="G187" s="12" t="inlineStr">
        <is>
          <t>YÜKSEKLİK (m)</t>
        </is>
      </c>
      <c r="H187" s="12" t="inlineStr">
        <is>
          <t>TOPLANAN (+)</t>
        </is>
      </c>
      <c r="I187" s="12" t="inlineStr">
        <is>
          <t>ÇIKARILAN (−)</t>
        </is>
      </c>
    </row>
    <row r="188">
      <c r="A188" s="69" t="n">
        <v>1</v>
      </c>
      <c r="B188" s="7" t="inlineStr">
        <is>
          <t>102 ARENA · SERBEST AĞIRLIK</t>
        </is>
      </c>
      <c r="C188" s="69" t="inlineStr">
        <is>
          <t>m²</t>
        </is>
      </c>
      <c r="D188" s="55" t="n">
        <v>1</v>
      </c>
      <c r="E188" s="55" t="n"/>
      <c r="F188" s="55" t="n"/>
      <c r="G188" s="55" t="n"/>
      <c r="H188" s="70" t="n">
        <v>31.76</v>
      </c>
      <c r="I188" s="71" t="n"/>
    </row>
    <row r="189">
      <c r="A189" s="75" t="inlineStr">
        <is>
          <t>KISMİ YEKÜN</t>
        </is>
      </c>
      <c r="H189" s="76">
        <f>SUM(H188:H188)</f>
        <v/>
      </c>
      <c r="I189" s="77">
        <f>SUM(I188:I188)</f>
        <v/>
      </c>
    </row>
    <row r="190" ht="20" customHeight="1">
      <c r="A190" s="78" t="inlineStr">
        <is>
          <t>SAYFA YEKÜNÜ  ·  POZ D.1.6 METRAJI</t>
        </is>
      </c>
      <c r="H190" s="79">
        <f>H189-I189</f>
        <v/>
      </c>
    </row>
    <row r="192" ht="24" customHeight="1">
      <c r="A192" s="64" t="inlineStr">
        <is>
          <t>POZ NO: D.2.1      Kauçuk süpürgelik 100×8 mm — zemin kaplamasıyla aynı malzeme, üst kenarı 45° pahlı</t>
        </is>
      </c>
    </row>
    <row r="193">
      <c r="A193" s="65" t="inlineStr">
        <is>
          <t>MAHAL:</t>
        </is>
      </c>
      <c r="B193" s="66" t="inlineStr">
        <is>
          <t>102 · 103</t>
        </is>
      </c>
      <c r="F193" s="65" t="inlineStr">
        <is>
          <t>BİRİM:</t>
        </is>
      </c>
      <c r="G193" s="67" t="inlineStr">
        <is>
          <t>mt</t>
        </is>
      </c>
      <c r="H193" s="65" t="inlineStr">
        <is>
          <t>PROJE REF:</t>
        </is>
      </c>
      <c r="I193" s="68" t="inlineStr">
        <is>
          <t>A-01…A-13</t>
        </is>
      </c>
    </row>
    <row r="194" ht="26" customHeight="1">
      <c r="A194" s="12" t="inlineStr">
        <is>
          <t>S.NO</t>
        </is>
      </c>
      <c r="B194" s="12" t="inlineStr">
        <is>
          <t>YAPILACAK İMALAT AÇIKLAMASI</t>
        </is>
      </c>
      <c r="C194" s="12" t="inlineStr">
        <is>
          <t>BİRİM</t>
        </is>
      </c>
      <c r="D194" s="12" t="inlineStr">
        <is>
          <t>ADET</t>
        </is>
      </c>
      <c r="E194" s="12" t="inlineStr">
        <is>
          <t>EN (m)</t>
        </is>
      </c>
      <c r="F194" s="12" t="inlineStr">
        <is>
          <t>BOY (m)</t>
        </is>
      </c>
      <c r="G194" s="12" t="inlineStr">
        <is>
          <t>YÜKSEKLİK (m)</t>
        </is>
      </c>
      <c r="H194" s="12" t="inlineStr">
        <is>
          <t>TOPLANAN (+)</t>
        </is>
      </c>
      <c r="I194" s="12" t="inlineStr">
        <is>
          <t>ÇIKARILAN (−)</t>
        </is>
      </c>
    </row>
    <row r="195">
      <c r="A195" s="69" t="n">
        <v>1</v>
      </c>
      <c r="B195" s="7" t="inlineStr">
        <is>
          <t>102 ARENA · SERBEST AĞIRLIK — mahal çevresi</t>
        </is>
      </c>
      <c r="C195" s="69" t="inlineStr">
        <is>
          <t>mt</t>
        </is>
      </c>
      <c r="D195" s="55" t="n">
        <v>1</v>
      </c>
      <c r="E195" s="55" t="n">
        <v>22.59</v>
      </c>
      <c r="F195" s="55" t="n"/>
      <c r="G195" s="55" t="n"/>
      <c r="H195" s="70" t="n">
        <v>22.59</v>
      </c>
      <c r="I195" s="71" t="n"/>
    </row>
    <row r="196">
      <c r="A196" s="72" t="n">
        <v>2</v>
      </c>
      <c r="B196" s="48" t="inlineStr">
        <is>
          <t>103 FONKSİYONEL · KARDİYO — mahal çevresi</t>
        </is>
      </c>
      <c r="C196" s="72" t="inlineStr">
        <is>
          <t>mt</t>
        </is>
      </c>
      <c r="D196" s="59" t="n">
        <v>1</v>
      </c>
      <c r="E196" s="59" t="n">
        <v>30.63</v>
      </c>
      <c r="F196" s="59" t="n"/>
      <c r="G196" s="59" t="n"/>
      <c r="H196" s="73" t="n">
        <v>30.63</v>
      </c>
      <c r="I196" s="74" t="n"/>
    </row>
    <row r="197">
      <c r="A197" s="80" t="n">
        <v>3</v>
      </c>
      <c r="B197" s="81" t="inlineStr">
        <is>
          <t>101–104 bölge sınırları (fiziksel duvar yok) — yaklaşık</t>
        </is>
      </c>
      <c r="C197" s="80" t="inlineStr">
        <is>
          <t>mt</t>
        </is>
      </c>
      <c r="D197" s="82" t="n">
        <v>1</v>
      </c>
      <c r="E197" s="82" t="n">
        <v>12.6</v>
      </c>
      <c r="F197" s="82" t="n"/>
      <c r="G197" s="82" t="n"/>
      <c r="H197" s="83" t="n"/>
      <c r="I197" s="84" t="n">
        <v>12.6</v>
      </c>
    </row>
    <row r="198">
      <c r="A198" s="75" t="inlineStr">
        <is>
          <t>KISMİ YEKÜN</t>
        </is>
      </c>
      <c r="H198" s="76">
        <f>SUM(H195:H197)</f>
        <v/>
      </c>
      <c r="I198" s="77">
        <f>SUM(I195:I197)</f>
        <v/>
      </c>
    </row>
    <row r="199" ht="20" customHeight="1">
      <c r="A199" s="78" t="inlineStr">
        <is>
          <t>SAYFA YEKÜNÜ  ·  POZ D.2.1 METRAJI</t>
        </is>
      </c>
      <c r="H199" s="79">
        <f>H198-I198</f>
        <v/>
      </c>
    </row>
    <row r="201" ht="24" customHeight="1">
      <c r="A201" s="64" t="inlineStr">
        <is>
          <t>POZ NO: D.2.2      MDF lake süpürgelik 80×16 mm — RAL 9003, akrilik mastik ile duvara yalanır</t>
        </is>
      </c>
    </row>
    <row r="202">
      <c r="A202" s="65" t="inlineStr">
        <is>
          <t>MAHAL:</t>
        </is>
      </c>
      <c r="B202" s="66" t="inlineStr">
        <is>
          <t>101 · 104</t>
        </is>
      </c>
      <c r="F202" s="65" t="inlineStr">
        <is>
          <t>BİRİM:</t>
        </is>
      </c>
      <c r="G202" s="67" t="inlineStr">
        <is>
          <t>mt</t>
        </is>
      </c>
      <c r="H202" s="65" t="inlineStr">
        <is>
          <t>PROJE REF:</t>
        </is>
      </c>
      <c r="I202" s="68" t="inlineStr">
        <is>
          <t>A-01…A-13</t>
        </is>
      </c>
    </row>
    <row r="203" ht="26" customHeight="1">
      <c r="A203" s="12" t="inlineStr">
        <is>
          <t>S.NO</t>
        </is>
      </c>
      <c r="B203" s="12" t="inlineStr">
        <is>
          <t>YAPILACAK İMALAT AÇIKLAMASI</t>
        </is>
      </c>
      <c r="C203" s="12" t="inlineStr">
        <is>
          <t>BİRİM</t>
        </is>
      </c>
      <c r="D203" s="12" t="inlineStr">
        <is>
          <t>ADET</t>
        </is>
      </c>
      <c r="E203" s="12" t="inlineStr">
        <is>
          <t>EN (m)</t>
        </is>
      </c>
      <c r="F203" s="12" t="inlineStr">
        <is>
          <t>BOY (m)</t>
        </is>
      </c>
      <c r="G203" s="12" t="inlineStr">
        <is>
          <t>YÜKSEKLİK (m)</t>
        </is>
      </c>
      <c r="H203" s="12" t="inlineStr">
        <is>
          <t>TOPLANAN (+)</t>
        </is>
      </c>
      <c r="I203" s="12" t="inlineStr">
        <is>
          <t>ÇIKARILAN (−)</t>
        </is>
      </c>
    </row>
    <row r="204">
      <c r="A204" s="69" t="n">
        <v>1</v>
      </c>
      <c r="B204" s="7" t="inlineStr">
        <is>
          <t>101 GİRİŞ · BANKO · SİRKÜLASYON — mahal çevresi</t>
        </is>
      </c>
      <c r="C204" s="69" t="inlineStr">
        <is>
          <t>mt</t>
        </is>
      </c>
      <c r="D204" s="55" t="n">
        <v>1</v>
      </c>
      <c r="E204" s="55" t="n">
        <v>20.48</v>
      </c>
      <c r="F204" s="55" t="n"/>
      <c r="G204" s="55" t="n"/>
      <c r="H204" s="70" t="n">
        <v>20.48</v>
      </c>
      <c r="I204" s="71" t="n"/>
    </row>
    <row r="205">
      <c r="A205" s="80" t="n">
        <v>2</v>
      </c>
      <c r="B205" s="81" t="inlineStr">
        <is>
          <t>K01 kapı genişliği minha</t>
        </is>
      </c>
      <c r="C205" s="80" t="inlineStr">
        <is>
          <t>mt</t>
        </is>
      </c>
      <c r="D205" s="82" t="n">
        <v>1</v>
      </c>
      <c r="E205" s="82" t="n">
        <v>1.6</v>
      </c>
      <c r="F205" s="82" t="n"/>
      <c r="G205" s="82" t="n"/>
      <c r="H205" s="83" t="n"/>
      <c r="I205" s="84" t="n">
        <v>1.6</v>
      </c>
    </row>
    <row r="206">
      <c r="A206" s="80" t="n">
        <v>3</v>
      </c>
      <c r="B206" s="81" t="inlineStr">
        <is>
          <t>K09 kapı genişliği minha</t>
        </is>
      </c>
      <c r="C206" s="80" t="inlineStr">
        <is>
          <t>mt</t>
        </is>
      </c>
      <c r="D206" s="82" t="n">
        <v>1</v>
      </c>
      <c r="E206" s="82" t="n">
        <v>0.7</v>
      </c>
      <c r="F206" s="82" t="n"/>
      <c r="G206" s="82" t="n"/>
      <c r="H206" s="83" t="n"/>
      <c r="I206" s="84" t="n">
        <v>0.7</v>
      </c>
    </row>
    <row r="207">
      <c r="A207" s="72" t="n">
        <v>4</v>
      </c>
      <c r="B207" s="48" t="inlineStr">
        <is>
          <t>104 DİNLENME SALONU — mahal çevresi</t>
        </is>
      </c>
      <c r="C207" s="72" t="inlineStr">
        <is>
          <t>mt</t>
        </is>
      </c>
      <c r="D207" s="59" t="n">
        <v>1</v>
      </c>
      <c r="E207" s="59" t="n">
        <v>18.07</v>
      </c>
      <c r="F207" s="59" t="n"/>
      <c r="G207" s="59" t="n"/>
      <c r="H207" s="73" t="n">
        <v>18.07</v>
      </c>
      <c r="I207" s="74" t="n"/>
    </row>
    <row r="208">
      <c r="A208" s="80" t="n">
        <v>5</v>
      </c>
      <c r="B208" s="81" t="inlineStr">
        <is>
          <t>101–104 bölge sınırları (fiziksel duvar yok) — yaklaşık</t>
        </is>
      </c>
      <c r="C208" s="80" t="inlineStr">
        <is>
          <t>mt</t>
        </is>
      </c>
      <c r="D208" s="82" t="n">
        <v>1</v>
      </c>
      <c r="E208" s="82" t="n">
        <v>12.6</v>
      </c>
      <c r="F208" s="82" t="n"/>
      <c r="G208" s="82" t="n"/>
      <c r="H208" s="83" t="n"/>
      <c r="I208" s="84" t="n">
        <v>12.6</v>
      </c>
    </row>
    <row r="209">
      <c r="A209" s="75" t="inlineStr">
        <is>
          <t>KISMİ YEKÜN</t>
        </is>
      </c>
      <c r="H209" s="76">
        <f>SUM(H204:H208)</f>
        <v/>
      </c>
      <c r="I209" s="77">
        <f>SUM(I204:I208)</f>
        <v/>
      </c>
    </row>
    <row r="210" ht="20" customHeight="1">
      <c r="A210" s="78" t="inlineStr">
        <is>
          <t>SAYFA YEKÜNÜ  ·  POZ D.2.2 METRAJI</t>
        </is>
      </c>
      <c r="H210" s="79">
        <f>H209-I209</f>
        <v/>
      </c>
    </row>
    <row r="212" ht="24" customHeight="1">
      <c r="A212" s="64" t="inlineStr">
        <is>
          <t>POZ NO: D.2.4      Porselen süpürgelik 80 mm — zemin karosundan kesme, rektifiye kenar</t>
        </is>
      </c>
    </row>
    <row r="213">
      <c r="A213" s="65" t="inlineStr">
        <is>
          <t>MAHAL:</t>
        </is>
      </c>
      <c r="B213" s="66" t="inlineStr">
        <is>
          <t>105 · 108</t>
        </is>
      </c>
      <c r="F213" s="65" t="inlineStr">
        <is>
          <t>BİRİM:</t>
        </is>
      </c>
      <c r="G213" s="67" t="inlineStr">
        <is>
          <t>mt</t>
        </is>
      </c>
      <c r="H213" s="65" t="inlineStr">
        <is>
          <t>PROJE REF:</t>
        </is>
      </c>
      <c r="I213" s="68" t="inlineStr">
        <is>
          <t>A-01…A-13</t>
        </is>
      </c>
    </row>
    <row r="214" ht="26" customHeight="1">
      <c r="A214" s="12" t="inlineStr">
        <is>
          <t>S.NO</t>
        </is>
      </c>
      <c r="B214" s="12" t="inlineStr">
        <is>
          <t>YAPILACAK İMALAT AÇIKLAMASI</t>
        </is>
      </c>
      <c r="C214" s="12" t="inlineStr">
        <is>
          <t>BİRİM</t>
        </is>
      </c>
      <c r="D214" s="12" t="inlineStr">
        <is>
          <t>ADET</t>
        </is>
      </c>
      <c r="E214" s="12" t="inlineStr">
        <is>
          <t>EN (m)</t>
        </is>
      </c>
      <c r="F214" s="12" t="inlineStr">
        <is>
          <t>BOY (m)</t>
        </is>
      </c>
      <c r="G214" s="12" t="inlineStr">
        <is>
          <t>YÜKSEKLİK (m)</t>
        </is>
      </c>
      <c r="H214" s="12" t="inlineStr">
        <is>
          <t>TOPLANAN (+)</t>
        </is>
      </c>
      <c r="I214" s="12" t="inlineStr">
        <is>
          <t>ÇIKARILAN (−)</t>
        </is>
      </c>
    </row>
    <row r="215">
      <c r="A215" s="69" t="n">
        <v>1</v>
      </c>
      <c r="B215" s="7" t="inlineStr">
        <is>
          <t>105 ERKEK SOYUNMA — mahal çevresi</t>
        </is>
      </c>
      <c r="C215" s="69" t="inlineStr">
        <is>
          <t>mt</t>
        </is>
      </c>
      <c r="D215" s="55" t="n">
        <v>1</v>
      </c>
      <c r="E215" s="55" t="n">
        <v>8.470000000000001</v>
      </c>
      <c r="F215" s="55" t="n"/>
      <c r="G215" s="55" t="n"/>
      <c r="H215" s="70" t="n">
        <v>8.470000000000001</v>
      </c>
      <c r="I215" s="71" t="n"/>
    </row>
    <row r="216">
      <c r="A216" s="80" t="n">
        <v>2</v>
      </c>
      <c r="B216" s="81" t="inlineStr">
        <is>
          <t>K03 kapı genişliği minha</t>
        </is>
      </c>
      <c r="C216" s="80" t="inlineStr">
        <is>
          <t>mt</t>
        </is>
      </c>
      <c r="D216" s="82" t="n">
        <v>1</v>
      </c>
      <c r="E216" s="82" t="n">
        <v>0.9</v>
      </c>
      <c r="F216" s="82" t="n"/>
      <c r="G216" s="82" t="n"/>
      <c r="H216" s="83" t="n"/>
      <c r="I216" s="84" t="n">
        <v>0.9</v>
      </c>
    </row>
    <row r="217">
      <c r="A217" s="69" t="n">
        <v>3</v>
      </c>
      <c r="B217" s="7" t="inlineStr">
        <is>
          <t>108 KADIN SOYUNMA — mahal çevresi</t>
        </is>
      </c>
      <c r="C217" s="69" t="inlineStr">
        <is>
          <t>mt</t>
        </is>
      </c>
      <c r="D217" s="55" t="n">
        <v>1</v>
      </c>
      <c r="E217" s="55" t="n">
        <v>9.5</v>
      </c>
      <c r="F217" s="55" t="n"/>
      <c r="G217" s="55" t="n"/>
      <c r="H217" s="70" t="n">
        <v>9.5</v>
      </c>
      <c r="I217" s="71" t="n"/>
    </row>
    <row r="218">
      <c r="A218" s="80" t="n">
        <v>4</v>
      </c>
      <c r="B218" s="81" t="inlineStr">
        <is>
          <t>K04 kapı genişliği minha</t>
        </is>
      </c>
      <c r="C218" s="80" t="inlineStr">
        <is>
          <t>mt</t>
        </is>
      </c>
      <c r="D218" s="82" t="n">
        <v>1</v>
      </c>
      <c r="E218" s="82" t="n">
        <v>0.9</v>
      </c>
      <c r="F218" s="82" t="n"/>
      <c r="G218" s="82" t="n"/>
      <c r="H218" s="83" t="n"/>
      <c r="I218" s="84" t="n">
        <v>0.9</v>
      </c>
    </row>
    <row r="219">
      <c r="A219" s="75" t="inlineStr">
        <is>
          <t>KISMİ YEKÜN</t>
        </is>
      </c>
      <c r="H219" s="76">
        <f>SUM(H215:H218)</f>
        <v/>
      </c>
      <c r="I219" s="77">
        <f>SUM(I215:I218)</f>
        <v/>
      </c>
    </row>
    <row r="220" ht="20" customHeight="1">
      <c r="A220" s="78" t="inlineStr">
        <is>
          <t>SAYFA YEKÜNÜ  ·  POZ D.2.4 METRAJI</t>
        </is>
      </c>
      <c r="H220" s="79">
        <f>H219-I219</f>
        <v/>
      </c>
    </row>
    <row r="222" ht="24" customHeight="1">
      <c r="A222" s="64" t="inlineStr">
        <is>
          <t>POZ NO: E.1.1      D5 duvar seramiği 300×600 mm, rektifiye — duş kabininde tavana kadar</t>
        </is>
      </c>
    </row>
    <row r="223">
      <c r="A223" s="65" t="inlineStr">
        <is>
          <t>MAHAL:</t>
        </is>
      </c>
      <c r="B223" s="66" t="inlineStr">
        <is>
          <t>106 · 109</t>
        </is>
      </c>
      <c r="F223" s="65" t="inlineStr">
        <is>
          <t>BİRİM:</t>
        </is>
      </c>
      <c r="G223" s="67" t="inlineStr">
        <is>
          <t>m²</t>
        </is>
      </c>
      <c r="H223" s="65" t="inlineStr">
        <is>
          <t>PROJE REF:</t>
        </is>
      </c>
      <c r="I223" s="68" t="inlineStr">
        <is>
          <t>A-01…A-13</t>
        </is>
      </c>
    </row>
    <row r="224" ht="26" customHeight="1">
      <c r="A224" s="12" t="inlineStr">
        <is>
          <t>S.NO</t>
        </is>
      </c>
      <c r="B224" s="12" t="inlineStr">
        <is>
          <t>YAPILACAK İMALAT AÇIKLAMASI</t>
        </is>
      </c>
      <c r="C224" s="12" t="inlineStr">
        <is>
          <t>BİRİM</t>
        </is>
      </c>
      <c r="D224" s="12" t="inlineStr">
        <is>
          <t>ADET</t>
        </is>
      </c>
      <c r="E224" s="12" t="inlineStr">
        <is>
          <t>EN (m)</t>
        </is>
      </c>
      <c r="F224" s="12" t="inlineStr">
        <is>
          <t>BOY (m)</t>
        </is>
      </c>
      <c r="G224" s="12" t="inlineStr">
        <is>
          <t>YÜKSEKLİK (m)</t>
        </is>
      </c>
      <c r="H224" s="12" t="inlineStr">
        <is>
          <t>TOPLANAN (+)</t>
        </is>
      </c>
      <c r="I224" s="12" t="inlineStr">
        <is>
          <t>ÇIKARILAN (−)</t>
        </is>
      </c>
    </row>
    <row r="225">
      <c r="A225" s="69" t="n">
        <v>1</v>
      </c>
      <c r="B225" s="7" t="inlineStr">
        <is>
          <t>Erkek duş — çevre 5.41 m × tavan kotu 2,40 m</t>
        </is>
      </c>
      <c r="C225" s="69" t="inlineStr">
        <is>
          <t>m²</t>
        </is>
      </c>
      <c r="D225" s="55" t="n">
        <v>1</v>
      </c>
      <c r="E225" s="55" t="n">
        <v>5.41</v>
      </c>
      <c r="F225" s="55" t="n"/>
      <c r="G225" s="55" t="n">
        <v>2.4</v>
      </c>
      <c r="H225" s="70" t="n">
        <v>12.984</v>
      </c>
      <c r="I225" s="71" t="n"/>
    </row>
    <row r="226">
      <c r="A226" s="72" t="n">
        <v>2</v>
      </c>
      <c r="B226" s="48" t="inlineStr">
        <is>
          <t>Kadin duş — çevre 4.76 m × tavan kotu 2,40 m</t>
        </is>
      </c>
      <c r="C226" s="72" t="inlineStr">
        <is>
          <t>m²</t>
        </is>
      </c>
      <c r="D226" s="59" t="n">
        <v>1</v>
      </c>
      <c r="E226" s="59" t="n">
        <v>4.76</v>
      </c>
      <c r="F226" s="59" t="n"/>
      <c r="G226" s="59" t="n">
        <v>2.4</v>
      </c>
      <c r="H226" s="73" t="n">
        <v>11.424</v>
      </c>
      <c r="I226" s="74" t="n"/>
    </row>
    <row r="227">
      <c r="A227" s="80" t="n">
        <v>3</v>
      </c>
      <c r="B227" s="81" t="inlineStr">
        <is>
          <t>K07 duş kapağı boşluğu minha</t>
        </is>
      </c>
      <c r="C227" s="80" t="inlineStr">
        <is>
          <t>m²</t>
        </is>
      </c>
      <c r="D227" s="82" t="n">
        <v>1</v>
      </c>
      <c r="E227" s="82" t="n">
        <v>0.7</v>
      </c>
      <c r="F227" s="82" t="n">
        <v>1.95</v>
      </c>
      <c r="G227" s="82" t="n"/>
      <c r="H227" s="83" t="n"/>
      <c r="I227" s="84" t="n">
        <v>1.365</v>
      </c>
    </row>
    <row r="228">
      <c r="A228" s="80" t="n">
        <v>4</v>
      </c>
      <c r="B228" s="81" t="inlineStr">
        <is>
          <t>K08 duş kapağı boşluğu minha</t>
        </is>
      </c>
      <c r="C228" s="80" t="inlineStr">
        <is>
          <t>m²</t>
        </is>
      </c>
      <c r="D228" s="82" t="n">
        <v>1</v>
      </c>
      <c r="E228" s="82" t="n">
        <v>0.7</v>
      </c>
      <c r="F228" s="82" t="n">
        <v>1.95</v>
      </c>
      <c r="G228" s="82" t="n"/>
      <c r="H228" s="83" t="n"/>
      <c r="I228" s="84" t="n">
        <v>1.365</v>
      </c>
    </row>
    <row r="229">
      <c r="A229" s="75" t="inlineStr">
        <is>
          <t>KISMİ YEKÜN</t>
        </is>
      </c>
      <c r="H229" s="76">
        <f>SUM(H225:H228)</f>
        <v/>
      </c>
      <c r="I229" s="77">
        <f>SUM(I225:I228)</f>
        <v/>
      </c>
    </row>
    <row r="230" ht="20" customHeight="1">
      <c r="A230" s="78" t="inlineStr">
        <is>
          <t>SAYFA YEKÜNÜ  ·  POZ E.1.1 METRAJI</t>
        </is>
      </c>
      <c r="H230" s="79">
        <f>H229-I229</f>
        <v/>
      </c>
    </row>
    <row r="232" ht="24" customHeight="1">
      <c r="A232" s="64" t="inlineStr">
        <is>
          <t>POZ NO: E.1.2      D5 duvar seramiği 300×600 mm — WC'de h = 1,60 m</t>
        </is>
      </c>
    </row>
    <row r="233">
      <c r="A233" s="65" t="inlineStr">
        <is>
          <t>MAHAL:</t>
        </is>
      </c>
      <c r="B233" s="66" t="inlineStr">
        <is>
          <t>107 · 110</t>
        </is>
      </c>
      <c r="F233" s="65" t="inlineStr">
        <is>
          <t>BİRİM:</t>
        </is>
      </c>
      <c r="G233" s="67" t="inlineStr">
        <is>
          <t>m²</t>
        </is>
      </c>
      <c r="H233" s="65" t="inlineStr">
        <is>
          <t>PROJE REF:</t>
        </is>
      </c>
      <c r="I233" s="68" t="inlineStr">
        <is>
          <t>A-01…A-13</t>
        </is>
      </c>
    </row>
    <row r="234" ht="26" customHeight="1">
      <c r="A234" s="12" t="inlineStr">
        <is>
          <t>S.NO</t>
        </is>
      </c>
      <c r="B234" s="12" t="inlineStr">
        <is>
          <t>YAPILACAK İMALAT AÇIKLAMASI</t>
        </is>
      </c>
      <c r="C234" s="12" t="inlineStr">
        <is>
          <t>BİRİM</t>
        </is>
      </c>
      <c r="D234" s="12" t="inlineStr">
        <is>
          <t>ADET</t>
        </is>
      </c>
      <c r="E234" s="12" t="inlineStr">
        <is>
          <t>EN (m)</t>
        </is>
      </c>
      <c r="F234" s="12" t="inlineStr">
        <is>
          <t>BOY (m)</t>
        </is>
      </c>
      <c r="G234" s="12" t="inlineStr">
        <is>
          <t>YÜKSEKLİK (m)</t>
        </is>
      </c>
      <c r="H234" s="12" t="inlineStr">
        <is>
          <t>TOPLANAN (+)</t>
        </is>
      </c>
      <c r="I234" s="12" t="inlineStr">
        <is>
          <t>ÇIKARILAN (−)</t>
        </is>
      </c>
    </row>
    <row r="235">
      <c r="A235" s="69" t="n">
        <v>1</v>
      </c>
      <c r="B235" s="7" t="inlineStr">
        <is>
          <t>Erkek WC — çevre 5.4 m × h 1,60 m</t>
        </is>
      </c>
      <c r="C235" s="69" t="inlineStr">
        <is>
          <t>m²</t>
        </is>
      </c>
      <c r="D235" s="55" t="n">
        <v>1</v>
      </c>
      <c r="E235" s="55" t="n">
        <v>5.4</v>
      </c>
      <c r="F235" s="55" t="n"/>
      <c r="G235" s="55" t="n">
        <v>1.6</v>
      </c>
      <c r="H235" s="70" t="n">
        <v>8.640000000000001</v>
      </c>
      <c r="I235" s="71" t="n"/>
    </row>
    <row r="236">
      <c r="A236" s="72" t="n">
        <v>2</v>
      </c>
      <c r="B236" s="48" t="inlineStr">
        <is>
          <t>Kadin WC — çevre 5.04 m × h 1,60 m</t>
        </is>
      </c>
      <c r="C236" s="72" t="inlineStr">
        <is>
          <t>m²</t>
        </is>
      </c>
      <c r="D236" s="59" t="n">
        <v>1</v>
      </c>
      <c r="E236" s="59" t="n">
        <v>5.04</v>
      </c>
      <c r="F236" s="59" t="n"/>
      <c r="G236" s="59" t="n">
        <v>1.6</v>
      </c>
      <c r="H236" s="73" t="n">
        <v>8.064</v>
      </c>
      <c r="I236" s="74" t="n"/>
    </row>
    <row r="237">
      <c r="A237" s="80" t="n">
        <v>3</v>
      </c>
      <c r="B237" s="81" t="inlineStr">
        <is>
          <t>K05 kapı boşluğu minha (h 1,60 m'ye kadar)</t>
        </is>
      </c>
      <c r="C237" s="80" t="inlineStr">
        <is>
          <t>m²</t>
        </is>
      </c>
      <c r="D237" s="82" t="n">
        <v>1</v>
      </c>
      <c r="E237" s="82" t="n">
        <v>0.7</v>
      </c>
      <c r="F237" s="82" t="n"/>
      <c r="G237" s="82" t="n">
        <v>1.6</v>
      </c>
      <c r="H237" s="83" t="n"/>
      <c r="I237" s="84" t="n">
        <v>1.12</v>
      </c>
    </row>
    <row r="238">
      <c r="A238" s="80" t="n">
        <v>4</v>
      </c>
      <c r="B238" s="81" t="inlineStr">
        <is>
          <t>K06 kapı boşluğu minha (h 1,60 m'ye kadar)</t>
        </is>
      </c>
      <c r="C238" s="80" t="inlineStr">
        <is>
          <t>m²</t>
        </is>
      </c>
      <c r="D238" s="82" t="n">
        <v>1</v>
      </c>
      <c r="E238" s="82" t="n">
        <v>0.7</v>
      </c>
      <c r="F238" s="82" t="n"/>
      <c r="G238" s="82" t="n">
        <v>1.6</v>
      </c>
      <c r="H238" s="83" t="n"/>
      <c r="I238" s="84" t="n">
        <v>1.12</v>
      </c>
    </row>
    <row r="239">
      <c r="A239" s="75" t="inlineStr">
        <is>
          <t>KISMİ YEKÜN</t>
        </is>
      </c>
      <c r="H239" s="76">
        <f>SUM(H235:H238)</f>
        <v/>
      </c>
      <c r="I239" s="77">
        <f>SUM(I235:I238)</f>
        <v/>
      </c>
    </row>
    <row r="240" ht="20" customHeight="1">
      <c r="A240" s="78" t="inlineStr">
        <is>
          <t>SAYFA YEKÜNÜ  ·  POZ E.1.2 METRAJI</t>
        </is>
      </c>
      <c r="H240" s="79">
        <f>H239-I239</f>
        <v/>
      </c>
    </row>
    <row r="242" ht="24" customHeight="1">
      <c r="A242" s="64" t="inlineStr">
        <is>
          <t>POZ NO: E.1.3      Çimento esaslı 2 bileşenli su yalıtımı, 2 kat (EN 14891) — zemin</t>
        </is>
      </c>
    </row>
    <row r="243">
      <c r="A243" s="65" t="inlineStr">
        <is>
          <t>MAHAL:</t>
        </is>
      </c>
      <c r="B243" s="66" t="inlineStr">
        <is>
          <t>106·107·109·110</t>
        </is>
      </c>
      <c r="F243" s="65" t="inlineStr">
        <is>
          <t>BİRİM:</t>
        </is>
      </c>
      <c r="G243" s="67" t="inlineStr">
        <is>
          <t>m²</t>
        </is>
      </c>
      <c r="H243" s="65" t="inlineStr">
        <is>
          <t>PROJE REF:</t>
        </is>
      </c>
      <c r="I243" s="68" t="inlineStr">
        <is>
          <t>A-01…A-13</t>
        </is>
      </c>
    </row>
    <row r="244" ht="26" customHeight="1">
      <c r="A244" s="12" t="inlineStr">
        <is>
          <t>S.NO</t>
        </is>
      </c>
      <c r="B244" s="12" t="inlineStr">
        <is>
          <t>YAPILACAK İMALAT AÇIKLAMASI</t>
        </is>
      </c>
      <c r="C244" s="12" t="inlineStr">
        <is>
          <t>BİRİM</t>
        </is>
      </c>
      <c r="D244" s="12" t="inlineStr">
        <is>
          <t>ADET</t>
        </is>
      </c>
      <c r="E244" s="12" t="inlineStr">
        <is>
          <t>EN (m)</t>
        </is>
      </c>
      <c r="F244" s="12" t="inlineStr">
        <is>
          <t>BOY (m)</t>
        </is>
      </c>
      <c r="G244" s="12" t="inlineStr">
        <is>
          <t>YÜKSEKLİK (m)</t>
        </is>
      </c>
      <c r="H244" s="12" t="inlineStr">
        <is>
          <t>TOPLANAN (+)</t>
        </is>
      </c>
      <c r="I244" s="12" t="inlineStr">
        <is>
          <t>ÇIKARILAN (−)</t>
        </is>
      </c>
    </row>
    <row r="245">
      <c r="A245" s="69" t="n">
        <v>1</v>
      </c>
      <c r="B245" s="7" t="inlineStr">
        <is>
          <t>106 ERKEK DUŞ zemin</t>
        </is>
      </c>
      <c r="C245" s="69" t="inlineStr">
        <is>
          <t>m²</t>
        </is>
      </c>
      <c r="D245" s="55" t="n">
        <v>1</v>
      </c>
      <c r="E245" s="55" t="n"/>
      <c r="F245" s="55" t="n"/>
      <c r="G245" s="55" t="n"/>
      <c r="H245" s="70" t="n">
        <v>1.76</v>
      </c>
      <c r="I245" s="71" t="n"/>
    </row>
    <row r="246">
      <c r="A246" s="72" t="n">
        <v>2</v>
      </c>
      <c r="B246" s="48" t="inlineStr">
        <is>
          <t>107 ERKEK WC zemin</t>
        </is>
      </c>
      <c r="C246" s="72" t="inlineStr">
        <is>
          <t>m²</t>
        </is>
      </c>
      <c r="D246" s="59" t="n">
        <v>1</v>
      </c>
      <c r="E246" s="59" t="n"/>
      <c r="F246" s="59" t="n"/>
      <c r="G246" s="59" t="n"/>
      <c r="H246" s="73" t="n">
        <v>1.75</v>
      </c>
      <c r="I246" s="74" t="n"/>
    </row>
    <row r="247">
      <c r="A247" s="69" t="n">
        <v>3</v>
      </c>
      <c r="B247" s="7" t="inlineStr">
        <is>
          <t>109 KADIN DUŞ zemin</t>
        </is>
      </c>
      <c r="C247" s="69" t="inlineStr">
        <is>
          <t>m²</t>
        </is>
      </c>
      <c r="D247" s="55" t="n">
        <v>1</v>
      </c>
      <c r="E247" s="55" t="n"/>
      <c r="F247" s="55" t="n"/>
      <c r="G247" s="55" t="n"/>
      <c r="H247" s="70" t="n">
        <v>1.39</v>
      </c>
      <c r="I247" s="71" t="n"/>
    </row>
    <row r="248">
      <c r="A248" s="72" t="n">
        <v>4</v>
      </c>
      <c r="B248" s="48" t="inlineStr">
        <is>
          <t>110 KADIN WC zemin</t>
        </is>
      </c>
      <c r="C248" s="72" t="inlineStr">
        <is>
          <t>m²</t>
        </is>
      </c>
      <c r="D248" s="59" t="n">
        <v>1</v>
      </c>
      <c r="E248" s="59" t="n"/>
      <c r="F248" s="59" t="n"/>
      <c r="G248" s="59" t="n"/>
      <c r="H248" s="73" t="n">
        <v>1.29</v>
      </c>
      <c r="I248" s="74" t="n"/>
    </row>
    <row r="249">
      <c r="A249" s="75" t="inlineStr">
        <is>
          <t>KISMİ YEKÜN</t>
        </is>
      </c>
      <c r="H249" s="76">
        <f>SUM(H245:H248)</f>
        <v/>
      </c>
      <c r="I249" s="77">
        <f>SUM(I245:I248)</f>
        <v/>
      </c>
    </row>
    <row r="250" ht="20" customHeight="1">
      <c r="A250" s="78" t="inlineStr">
        <is>
          <t>SAYFA YEKÜNÜ  ·  POZ E.1.3 METRAJI</t>
        </is>
      </c>
      <c r="H250" s="79">
        <f>H249-I249</f>
        <v/>
      </c>
    </row>
    <row r="252" ht="24" customHeight="1">
      <c r="A252" s="64" t="inlineStr">
        <is>
          <t>POZ NO: E.1.4      Çimento esaslı su yalıtımı, 2 kat — duvarda dönüş (duşta 2,00 m, WC'de 0,30 m)</t>
        </is>
      </c>
    </row>
    <row r="253">
      <c r="A253" s="65" t="inlineStr">
        <is>
          <t>MAHAL:</t>
        </is>
      </c>
      <c r="B253" s="66" t="inlineStr">
        <is>
          <t>106·107·109·110</t>
        </is>
      </c>
      <c r="F253" s="65" t="inlineStr">
        <is>
          <t>BİRİM:</t>
        </is>
      </c>
      <c r="G253" s="67" t="inlineStr">
        <is>
          <t>m²</t>
        </is>
      </c>
      <c r="H253" s="65" t="inlineStr">
        <is>
          <t>PROJE REF:</t>
        </is>
      </c>
      <c r="I253" s="68" t="inlineStr">
        <is>
          <t>A-01…A-13</t>
        </is>
      </c>
    </row>
    <row r="254" ht="26" customHeight="1">
      <c r="A254" s="12" t="inlineStr">
        <is>
          <t>S.NO</t>
        </is>
      </c>
      <c r="B254" s="12" t="inlineStr">
        <is>
          <t>YAPILACAK İMALAT AÇIKLAMASI</t>
        </is>
      </c>
      <c r="C254" s="12" t="inlineStr">
        <is>
          <t>BİRİM</t>
        </is>
      </c>
      <c r="D254" s="12" t="inlineStr">
        <is>
          <t>ADET</t>
        </is>
      </c>
      <c r="E254" s="12" t="inlineStr">
        <is>
          <t>EN (m)</t>
        </is>
      </c>
      <c r="F254" s="12" t="inlineStr">
        <is>
          <t>BOY (m)</t>
        </is>
      </c>
      <c r="G254" s="12" t="inlineStr">
        <is>
          <t>YÜKSEKLİK (m)</t>
        </is>
      </c>
      <c r="H254" s="12" t="inlineStr">
        <is>
          <t>TOPLANAN (+)</t>
        </is>
      </c>
      <c r="I254" s="12" t="inlineStr">
        <is>
          <t>ÇIKARILAN (−)</t>
        </is>
      </c>
    </row>
    <row r="255">
      <c r="A255" s="69" t="n">
        <v>1</v>
      </c>
      <c r="B255" s="7" t="inlineStr">
        <is>
          <t>Erkek duş — çevre × 2,00 m</t>
        </is>
      </c>
      <c r="C255" s="69" t="inlineStr">
        <is>
          <t>m²</t>
        </is>
      </c>
      <c r="D255" s="55" t="n">
        <v>1</v>
      </c>
      <c r="E255" s="55" t="n">
        <v>5.41</v>
      </c>
      <c r="F255" s="55" t="n"/>
      <c r="G255" s="55" t="n">
        <v>2</v>
      </c>
      <c r="H255" s="70" t="n">
        <v>10.82</v>
      </c>
      <c r="I255" s="71" t="n"/>
    </row>
    <row r="256">
      <c r="A256" s="72" t="n">
        <v>2</v>
      </c>
      <c r="B256" s="48" t="inlineStr">
        <is>
          <t>Erkek WC — çevre × 0,30 m</t>
        </is>
      </c>
      <c r="C256" s="72" t="inlineStr">
        <is>
          <t>m²</t>
        </is>
      </c>
      <c r="D256" s="59" t="n">
        <v>1</v>
      </c>
      <c r="E256" s="59" t="n">
        <v>5.4</v>
      </c>
      <c r="F256" s="59" t="n"/>
      <c r="G256" s="59" t="n">
        <v>0.3</v>
      </c>
      <c r="H256" s="73" t="n">
        <v>1.62</v>
      </c>
      <c r="I256" s="74" t="n"/>
    </row>
    <row r="257">
      <c r="A257" s="69" t="n">
        <v>3</v>
      </c>
      <c r="B257" s="7" t="inlineStr">
        <is>
          <t>Kadin duş — çevre × 2,00 m</t>
        </is>
      </c>
      <c r="C257" s="69" t="inlineStr">
        <is>
          <t>m²</t>
        </is>
      </c>
      <c r="D257" s="55" t="n">
        <v>1</v>
      </c>
      <c r="E257" s="55" t="n">
        <v>4.76</v>
      </c>
      <c r="F257" s="55" t="n"/>
      <c r="G257" s="55" t="n">
        <v>2</v>
      </c>
      <c r="H257" s="70" t="n">
        <v>9.52</v>
      </c>
      <c r="I257" s="71" t="n"/>
    </row>
    <row r="258">
      <c r="A258" s="72" t="n">
        <v>4</v>
      </c>
      <c r="B258" s="48" t="inlineStr">
        <is>
          <t>Kadin WC — çevre × 0,30 m</t>
        </is>
      </c>
      <c r="C258" s="72" t="inlineStr">
        <is>
          <t>m²</t>
        </is>
      </c>
      <c r="D258" s="59" t="n">
        <v>1</v>
      </c>
      <c r="E258" s="59" t="n">
        <v>5.04</v>
      </c>
      <c r="F258" s="59" t="n"/>
      <c r="G258" s="59" t="n">
        <v>0.3</v>
      </c>
      <c r="H258" s="73" t="n">
        <v>1.512</v>
      </c>
      <c r="I258" s="74" t="n"/>
    </row>
    <row r="259">
      <c r="A259" s="75" t="inlineStr">
        <is>
          <t>KISMİ YEKÜN</t>
        </is>
      </c>
      <c r="H259" s="76">
        <f>SUM(H255:H258)</f>
        <v/>
      </c>
      <c r="I259" s="77">
        <f>SUM(I255:I258)</f>
        <v/>
      </c>
    </row>
    <row r="260" ht="20" customHeight="1">
      <c r="A260" s="78" t="inlineStr">
        <is>
          <t>SAYFA YEKÜNÜ  ·  POZ E.1.4 METRAJI</t>
        </is>
      </c>
      <c r="H260" s="79">
        <f>H259-I259</f>
        <v/>
      </c>
    </row>
    <row r="262" ht="24" customHeight="1">
      <c r="A262" s="64" t="inlineStr">
        <is>
          <t>POZ NO: E.1.5      Elastik su yalıtım bandı 120 mm — zemin-duvar birleşimi ve köşeler</t>
        </is>
      </c>
    </row>
    <row r="263">
      <c r="A263" s="65" t="inlineStr">
        <is>
          <t>MAHAL:</t>
        </is>
      </c>
      <c r="B263" s="66" t="inlineStr">
        <is>
          <t>106·107·109·110</t>
        </is>
      </c>
      <c r="F263" s="65" t="inlineStr">
        <is>
          <t>BİRİM:</t>
        </is>
      </c>
      <c r="G263" s="67" t="inlineStr">
        <is>
          <t>mt</t>
        </is>
      </c>
      <c r="H263" s="65" t="inlineStr">
        <is>
          <t>PROJE REF:</t>
        </is>
      </c>
      <c r="I263" s="68" t="inlineStr">
        <is>
          <t>A-01…A-13</t>
        </is>
      </c>
    </row>
    <row r="264" ht="26" customHeight="1">
      <c r="A264" s="12" t="inlineStr">
        <is>
          <t>S.NO</t>
        </is>
      </c>
      <c r="B264" s="12" t="inlineStr">
        <is>
          <t>YAPILACAK İMALAT AÇIKLAMASI</t>
        </is>
      </c>
      <c r="C264" s="12" t="inlineStr">
        <is>
          <t>BİRİM</t>
        </is>
      </c>
      <c r="D264" s="12" t="inlineStr">
        <is>
          <t>ADET</t>
        </is>
      </c>
      <c r="E264" s="12" t="inlineStr">
        <is>
          <t>EN (m)</t>
        </is>
      </c>
      <c r="F264" s="12" t="inlineStr">
        <is>
          <t>BOY (m)</t>
        </is>
      </c>
      <c r="G264" s="12" t="inlineStr">
        <is>
          <t>YÜKSEKLİK (m)</t>
        </is>
      </c>
      <c r="H264" s="12" t="inlineStr">
        <is>
          <t>TOPLANAN (+)</t>
        </is>
      </c>
      <c r="I264" s="12" t="inlineStr">
        <is>
          <t>ÇIKARILAN (−)</t>
        </is>
      </c>
    </row>
    <row r="265">
      <c r="A265" s="69" t="n">
        <v>1</v>
      </c>
      <c r="B265" s="7" t="inlineStr">
        <is>
          <t>Erkek duş — zemin-duvar birleşim çevresi</t>
        </is>
      </c>
      <c r="C265" s="69" t="inlineStr">
        <is>
          <t>mt</t>
        </is>
      </c>
      <c r="D265" s="55" t="n">
        <v>1</v>
      </c>
      <c r="E265" s="55" t="n">
        <v>5.41</v>
      </c>
      <c r="F265" s="55" t="n"/>
      <c r="G265" s="55" t="n"/>
      <c r="H265" s="70" t="n">
        <v>5.41</v>
      </c>
      <c r="I265" s="71" t="n"/>
    </row>
    <row r="266">
      <c r="A266" s="72" t="n">
        <v>2</v>
      </c>
      <c r="B266" s="48" t="inlineStr">
        <is>
          <t>Erkek WC — zemin-duvar birleşim çevresi</t>
        </is>
      </c>
      <c r="C266" s="72" t="inlineStr">
        <is>
          <t>mt</t>
        </is>
      </c>
      <c r="D266" s="59" t="n">
        <v>1</v>
      </c>
      <c r="E266" s="59" t="n">
        <v>5.4</v>
      </c>
      <c r="F266" s="59" t="n"/>
      <c r="G266" s="59" t="n"/>
      <c r="H266" s="73" t="n">
        <v>5.4</v>
      </c>
      <c r="I266" s="74" t="n"/>
    </row>
    <row r="267">
      <c r="A267" s="69" t="n">
        <v>3</v>
      </c>
      <c r="B267" s="7" t="inlineStr">
        <is>
          <t>Kadin duş — zemin-duvar birleşim çevresi</t>
        </is>
      </c>
      <c r="C267" s="69" t="inlineStr">
        <is>
          <t>mt</t>
        </is>
      </c>
      <c r="D267" s="55" t="n">
        <v>1</v>
      </c>
      <c r="E267" s="55" t="n">
        <v>4.76</v>
      </c>
      <c r="F267" s="55" t="n"/>
      <c r="G267" s="55" t="n"/>
      <c r="H267" s="70" t="n">
        <v>4.76</v>
      </c>
      <c r="I267" s="71" t="n"/>
    </row>
    <row r="268">
      <c r="A268" s="72" t="n">
        <v>4</v>
      </c>
      <c r="B268" s="48" t="inlineStr">
        <is>
          <t>Kadin WC — zemin-duvar birleşim çevresi</t>
        </is>
      </c>
      <c r="C268" s="72" t="inlineStr">
        <is>
          <t>mt</t>
        </is>
      </c>
      <c r="D268" s="59" t="n">
        <v>1</v>
      </c>
      <c r="E268" s="59" t="n">
        <v>5.04</v>
      </c>
      <c r="F268" s="59" t="n"/>
      <c r="G268" s="59" t="n"/>
      <c r="H268" s="73" t="n">
        <v>5.04</v>
      </c>
      <c r="I268" s="74" t="n"/>
    </row>
    <row r="269">
      <c r="A269" s="69" t="n">
        <v>5</v>
      </c>
      <c r="B269" s="7" t="inlineStr">
        <is>
          <t>Düşey köşeler ve boru geçişleri (4 hacim × 4 köşe × 2,40 m)</t>
        </is>
      </c>
      <c r="C269" s="69" t="inlineStr">
        <is>
          <t>mt</t>
        </is>
      </c>
      <c r="D269" s="55" t="n">
        <v>32</v>
      </c>
      <c r="E269" s="55" t="n">
        <v>1</v>
      </c>
      <c r="F269" s="55" t="n"/>
      <c r="G269" s="55" t="n"/>
      <c r="H269" s="70" t="n">
        <v>32</v>
      </c>
      <c r="I269" s="71" t="n"/>
    </row>
    <row r="270">
      <c r="A270" s="75" t="inlineStr">
        <is>
          <t>KISMİ YEKÜN</t>
        </is>
      </c>
      <c r="H270" s="76">
        <f>SUM(H265:H269)</f>
        <v/>
      </c>
      <c r="I270" s="77">
        <f>SUM(I265:I269)</f>
        <v/>
      </c>
    </row>
    <row r="271" ht="20" customHeight="1">
      <c r="A271" s="78" t="inlineStr">
        <is>
          <t>SAYFA YEKÜNÜ  ·  POZ E.1.5 METRAJI</t>
        </is>
      </c>
      <c r="H271" s="79">
        <f>H270-I270</f>
        <v/>
      </c>
    </row>
    <row r="273" ht="24" customHeight="1">
      <c r="A273" s="64" t="inlineStr">
        <is>
          <t>POZ NO: F.1.1      T2 Alçıpan asma tavan — kuru hacim — kot +2,75</t>
        </is>
      </c>
    </row>
    <row r="274">
      <c r="A274" s="65" t="inlineStr">
        <is>
          <t>MAHAL:</t>
        </is>
      </c>
      <c r="B274" s="66" t="inlineStr">
        <is>
          <t>101 · 104</t>
        </is>
      </c>
      <c r="F274" s="65" t="inlineStr">
        <is>
          <t>BİRİM:</t>
        </is>
      </c>
      <c r="G274" s="67" t="inlineStr">
        <is>
          <t>m²</t>
        </is>
      </c>
      <c r="H274" s="65" t="inlineStr">
        <is>
          <t>PROJE REF:</t>
        </is>
      </c>
      <c r="I274" s="68" t="inlineStr">
        <is>
          <t>A-01…A-13</t>
        </is>
      </c>
    </row>
    <row r="275" ht="26" customHeight="1">
      <c r="A275" s="12" t="inlineStr">
        <is>
          <t>S.NO</t>
        </is>
      </c>
      <c r="B275" s="12" t="inlineStr">
        <is>
          <t>YAPILACAK İMALAT AÇIKLAMASI</t>
        </is>
      </c>
      <c r="C275" s="12" t="inlineStr">
        <is>
          <t>BİRİM</t>
        </is>
      </c>
      <c r="D275" s="12" t="inlineStr">
        <is>
          <t>ADET</t>
        </is>
      </c>
      <c r="E275" s="12" t="inlineStr">
        <is>
          <t>EN (m)</t>
        </is>
      </c>
      <c r="F275" s="12" t="inlineStr">
        <is>
          <t>BOY (m)</t>
        </is>
      </c>
      <c r="G275" s="12" t="inlineStr">
        <is>
          <t>YÜKSEKLİK (m)</t>
        </is>
      </c>
      <c r="H275" s="12" t="inlineStr">
        <is>
          <t>TOPLANAN (+)</t>
        </is>
      </c>
      <c r="I275" s="12" t="inlineStr">
        <is>
          <t>ÇIKARILAN (−)</t>
        </is>
      </c>
    </row>
    <row r="276">
      <c r="A276" s="69" t="n">
        <v>1</v>
      </c>
      <c r="B276" s="7" t="inlineStr">
        <is>
          <t>101 GİRİŞ · BANKO · SİRKÜLASYON</t>
        </is>
      </c>
      <c r="C276" s="69" t="inlineStr">
        <is>
          <t>m²</t>
        </is>
      </c>
      <c r="D276" s="55" t="n">
        <v>1</v>
      </c>
      <c r="E276" s="55" t="n"/>
      <c r="F276" s="55" t="n"/>
      <c r="G276" s="55" t="n"/>
      <c r="H276" s="70" t="n">
        <v>15.65</v>
      </c>
      <c r="I276" s="71" t="n"/>
    </row>
    <row r="277">
      <c r="A277" s="72" t="n">
        <v>2</v>
      </c>
      <c r="B277" s="48" t="inlineStr">
        <is>
          <t>104 DİNLENME SALONU</t>
        </is>
      </c>
      <c r="C277" s="72" t="inlineStr">
        <is>
          <t>m²</t>
        </is>
      </c>
      <c r="D277" s="59" t="n">
        <v>1</v>
      </c>
      <c r="E277" s="59" t="n"/>
      <c r="F277" s="59" t="n"/>
      <c r="G277" s="59" t="n"/>
      <c r="H277" s="73" t="n">
        <v>17.33</v>
      </c>
      <c r="I277" s="74" t="n"/>
    </row>
    <row r="278">
      <c r="A278" s="75" t="inlineStr">
        <is>
          <t>KISMİ YEKÜN</t>
        </is>
      </c>
      <c r="H278" s="76">
        <f>SUM(H276:H277)</f>
        <v/>
      </c>
      <c r="I278" s="77">
        <f>SUM(I276:I277)</f>
        <v/>
      </c>
    </row>
    <row r="279" ht="20" customHeight="1">
      <c r="A279" s="78" t="inlineStr">
        <is>
          <t>SAYFA YEKÜNÜ  ·  POZ F.1.1 METRAJI</t>
        </is>
      </c>
      <c r="H279" s="79">
        <f>H278-I278</f>
        <v/>
      </c>
    </row>
    <row r="281" ht="24" customHeight="1">
      <c r="A281" s="64" t="inlineStr">
        <is>
          <t>POZ NO: F.1.2      T4 Alçıpan asma tavan — soyunma — kot +2,60</t>
        </is>
      </c>
    </row>
    <row r="282">
      <c r="A282" s="65" t="inlineStr">
        <is>
          <t>MAHAL:</t>
        </is>
      </c>
      <c r="B282" s="66" t="inlineStr">
        <is>
          <t>105 · 108</t>
        </is>
      </c>
      <c r="F282" s="65" t="inlineStr">
        <is>
          <t>BİRİM:</t>
        </is>
      </c>
      <c r="G282" s="67" t="inlineStr">
        <is>
          <t>m²</t>
        </is>
      </c>
      <c r="H282" s="65" t="inlineStr">
        <is>
          <t>PROJE REF:</t>
        </is>
      </c>
      <c r="I282" s="68" t="inlineStr">
        <is>
          <t>A-01…A-13</t>
        </is>
      </c>
    </row>
    <row r="283" ht="26" customHeight="1">
      <c r="A283" s="12" t="inlineStr">
        <is>
          <t>S.NO</t>
        </is>
      </c>
      <c r="B283" s="12" t="inlineStr">
        <is>
          <t>YAPILACAK İMALAT AÇIKLAMASI</t>
        </is>
      </c>
      <c r="C283" s="12" t="inlineStr">
        <is>
          <t>BİRİM</t>
        </is>
      </c>
      <c r="D283" s="12" t="inlineStr">
        <is>
          <t>ADET</t>
        </is>
      </c>
      <c r="E283" s="12" t="inlineStr">
        <is>
          <t>EN (m)</t>
        </is>
      </c>
      <c r="F283" s="12" t="inlineStr">
        <is>
          <t>BOY (m)</t>
        </is>
      </c>
      <c r="G283" s="12" t="inlineStr">
        <is>
          <t>YÜKSEKLİK (m)</t>
        </is>
      </c>
      <c r="H283" s="12" t="inlineStr">
        <is>
          <t>TOPLANAN (+)</t>
        </is>
      </c>
      <c r="I283" s="12" t="inlineStr">
        <is>
          <t>ÇIKARILAN (−)</t>
        </is>
      </c>
    </row>
    <row r="284">
      <c r="A284" s="69" t="n">
        <v>1</v>
      </c>
      <c r="B284" s="7" t="inlineStr">
        <is>
          <t>105 ERKEK SOYUNMA</t>
        </is>
      </c>
      <c r="C284" s="69" t="inlineStr">
        <is>
          <t>m²</t>
        </is>
      </c>
      <c r="D284" s="55" t="n">
        <v>1</v>
      </c>
      <c r="E284" s="55" t="n"/>
      <c r="F284" s="55" t="n"/>
      <c r="G284" s="55" t="n"/>
      <c r="H284" s="70" t="n">
        <v>4.48</v>
      </c>
      <c r="I284" s="71" t="n"/>
    </row>
    <row r="285">
      <c r="A285" s="72" t="n">
        <v>2</v>
      </c>
      <c r="B285" s="48" t="inlineStr">
        <is>
          <t>108 KADIN SOYUNMA</t>
        </is>
      </c>
      <c r="C285" s="72" t="inlineStr">
        <is>
          <t>m²</t>
        </is>
      </c>
      <c r="D285" s="59" t="n">
        <v>1</v>
      </c>
      <c r="E285" s="59" t="n"/>
      <c r="F285" s="59" t="n"/>
      <c r="G285" s="59" t="n"/>
      <c r="H285" s="73" t="n">
        <v>5.59</v>
      </c>
      <c r="I285" s="74" t="n"/>
    </row>
    <row r="286">
      <c r="A286" s="75" t="inlineStr">
        <is>
          <t>KISMİ YEKÜN</t>
        </is>
      </c>
      <c r="H286" s="76">
        <f>SUM(H284:H285)</f>
        <v/>
      </c>
      <c r="I286" s="77">
        <f>SUM(I284:I285)</f>
        <v/>
      </c>
    </row>
    <row r="287" ht="20" customHeight="1">
      <c r="A287" s="78" t="inlineStr">
        <is>
          <t>SAYFA YEKÜNÜ  ·  POZ F.1.2 METRAJI</t>
        </is>
      </c>
      <c r="H287" s="79">
        <f>H286-I286</f>
        <v/>
      </c>
    </row>
    <row r="289" ht="24" customHeight="1">
      <c r="A289" s="64" t="inlineStr">
        <is>
          <t>POZ NO: F.1.3      T3 Alçıpan asma tavan — ıslak hacim — kot +2,40</t>
        </is>
      </c>
    </row>
    <row r="290">
      <c r="A290" s="65" t="inlineStr">
        <is>
          <t>MAHAL:</t>
        </is>
      </c>
      <c r="B290" s="66" t="inlineStr">
        <is>
          <t>106 · 107 · 109 · 110</t>
        </is>
      </c>
      <c r="F290" s="65" t="inlineStr">
        <is>
          <t>BİRİM:</t>
        </is>
      </c>
      <c r="G290" s="67" t="inlineStr">
        <is>
          <t>m²</t>
        </is>
      </c>
      <c r="H290" s="65" t="inlineStr">
        <is>
          <t>PROJE REF:</t>
        </is>
      </c>
      <c r="I290" s="68" t="inlineStr">
        <is>
          <t>A-01…A-13</t>
        </is>
      </c>
    </row>
    <row r="291" ht="26" customHeight="1">
      <c r="A291" s="12" t="inlineStr">
        <is>
          <t>S.NO</t>
        </is>
      </c>
      <c r="B291" s="12" t="inlineStr">
        <is>
          <t>YAPILACAK İMALAT AÇIKLAMASI</t>
        </is>
      </c>
      <c r="C291" s="12" t="inlineStr">
        <is>
          <t>BİRİM</t>
        </is>
      </c>
      <c r="D291" s="12" t="inlineStr">
        <is>
          <t>ADET</t>
        </is>
      </c>
      <c r="E291" s="12" t="inlineStr">
        <is>
          <t>EN (m)</t>
        </is>
      </c>
      <c r="F291" s="12" t="inlineStr">
        <is>
          <t>BOY (m)</t>
        </is>
      </c>
      <c r="G291" s="12" t="inlineStr">
        <is>
          <t>YÜKSEKLİK (m)</t>
        </is>
      </c>
      <c r="H291" s="12" t="inlineStr">
        <is>
          <t>TOPLANAN (+)</t>
        </is>
      </c>
      <c r="I291" s="12" t="inlineStr">
        <is>
          <t>ÇIKARILAN (−)</t>
        </is>
      </c>
    </row>
    <row r="292">
      <c r="A292" s="69" t="n">
        <v>1</v>
      </c>
      <c r="B292" s="7" t="inlineStr">
        <is>
          <t>106 ERKEK DUŞ</t>
        </is>
      </c>
      <c r="C292" s="69" t="inlineStr">
        <is>
          <t>m²</t>
        </is>
      </c>
      <c r="D292" s="55" t="n">
        <v>1</v>
      </c>
      <c r="E292" s="55" t="n"/>
      <c r="F292" s="55" t="n"/>
      <c r="G292" s="55" t="n"/>
      <c r="H292" s="70" t="n">
        <v>1.76</v>
      </c>
      <c r="I292" s="71" t="n"/>
    </row>
    <row r="293">
      <c r="A293" s="72" t="n">
        <v>2</v>
      </c>
      <c r="B293" s="48" t="inlineStr">
        <is>
          <t>107 ERKEK WC</t>
        </is>
      </c>
      <c r="C293" s="72" t="inlineStr">
        <is>
          <t>m²</t>
        </is>
      </c>
      <c r="D293" s="59" t="n">
        <v>1</v>
      </c>
      <c r="E293" s="59" t="n"/>
      <c r="F293" s="59" t="n"/>
      <c r="G293" s="59" t="n"/>
      <c r="H293" s="73" t="n">
        <v>1.75</v>
      </c>
      <c r="I293" s="74" t="n"/>
    </row>
    <row r="294">
      <c r="A294" s="69" t="n">
        <v>3</v>
      </c>
      <c r="B294" s="7" t="inlineStr">
        <is>
          <t>109 KADIN DUŞ</t>
        </is>
      </c>
      <c r="C294" s="69" t="inlineStr">
        <is>
          <t>m²</t>
        </is>
      </c>
      <c r="D294" s="55" t="n">
        <v>1</v>
      </c>
      <c r="E294" s="55" t="n"/>
      <c r="F294" s="55" t="n"/>
      <c r="G294" s="55" t="n"/>
      <c r="H294" s="70" t="n">
        <v>1.39</v>
      </c>
      <c r="I294" s="71" t="n"/>
    </row>
    <row r="295">
      <c r="A295" s="72" t="n">
        <v>4</v>
      </c>
      <c r="B295" s="48" t="inlineStr">
        <is>
          <t>110 KADIN WC</t>
        </is>
      </c>
      <c r="C295" s="72" t="inlineStr">
        <is>
          <t>m²</t>
        </is>
      </c>
      <c r="D295" s="59" t="n">
        <v>1</v>
      </c>
      <c r="E295" s="59" t="n"/>
      <c r="F295" s="59" t="n"/>
      <c r="G295" s="59" t="n"/>
      <c r="H295" s="73" t="n">
        <v>1.29</v>
      </c>
      <c r="I295" s="74" t="n"/>
    </row>
    <row r="296">
      <c r="A296" s="75" t="inlineStr">
        <is>
          <t>KISMİ YEKÜN</t>
        </is>
      </c>
      <c r="H296" s="76">
        <f>SUM(H292:H295)</f>
        <v/>
      </c>
      <c r="I296" s="77">
        <f>SUM(I292:I295)</f>
        <v/>
      </c>
    </row>
    <row r="297" ht="20" customHeight="1">
      <c r="A297" s="78" t="inlineStr">
        <is>
          <t>SAYFA YEKÜNÜ  ·  POZ F.1.3 METRAJI</t>
        </is>
      </c>
      <c r="H297" s="79">
        <f>H296-I296</f>
        <v/>
      </c>
    </row>
    <row r="299" ht="24" customHeight="1">
      <c r="A299" s="64" t="inlineStr">
        <is>
          <t>POZ NO: F.1.4      T1 açık tavan — döşeme altı raspa, temizlik ve 2 kat siyah akrilik boya (kanal ve askılar dâhil)</t>
        </is>
      </c>
    </row>
    <row r="300">
      <c r="A300" s="65" t="inlineStr">
        <is>
          <t>MAHAL:</t>
        </is>
      </c>
      <c r="B300" s="66" t="inlineStr">
        <is>
          <t>102 · 103</t>
        </is>
      </c>
      <c r="F300" s="65" t="inlineStr">
        <is>
          <t>BİRİM:</t>
        </is>
      </c>
      <c r="G300" s="67" t="inlineStr">
        <is>
          <t>m²</t>
        </is>
      </c>
      <c r="H300" s="65" t="inlineStr">
        <is>
          <t>PROJE REF:</t>
        </is>
      </c>
      <c r="I300" s="68" t="inlineStr">
        <is>
          <t>A-01…A-13</t>
        </is>
      </c>
    </row>
    <row r="301" ht="26" customHeight="1">
      <c r="A301" s="12" t="inlineStr">
        <is>
          <t>S.NO</t>
        </is>
      </c>
      <c r="B301" s="12" t="inlineStr">
        <is>
          <t>YAPILACAK İMALAT AÇIKLAMASI</t>
        </is>
      </c>
      <c r="C301" s="12" t="inlineStr">
        <is>
          <t>BİRİM</t>
        </is>
      </c>
      <c r="D301" s="12" t="inlineStr">
        <is>
          <t>ADET</t>
        </is>
      </c>
      <c r="E301" s="12" t="inlineStr">
        <is>
          <t>EN (m)</t>
        </is>
      </c>
      <c r="F301" s="12" t="inlineStr">
        <is>
          <t>BOY (m)</t>
        </is>
      </c>
      <c r="G301" s="12" t="inlineStr">
        <is>
          <t>YÜKSEKLİK (m)</t>
        </is>
      </c>
      <c r="H301" s="12" t="inlineStr">
        <is>
          <t>TOPLANAN (+)</t>
        </is>
      </c>
      <c r="I301" s="12" t="inlineStr">
        <is>
          <t>ÇIKARILAN (−)</t>
        </is>
      </c>
    </row>
    <row r="302">
      <c r="A302" s="69" t="n">
        <v>1</v>
      </c>
      <c r="B302" s="7" t="inlineStr">
        <is>
          <t>102 ARENA · SERBEST AĞIRLIK</t>
        </is>
      </c>
      <c r="C302" s="69" t="inlineStr">
        <is>
          <t>m²</t>
        </is>
      </c>
      <c r="D302" s="55" t="n">
        <v>1</v>
      </c>
      <c r="E302" s="55" t="n"/>
      <c r="F302" s="55" t="n"/>
      <c r="G302" s="55" t="n"/>
      <c r="H302" s="70" t="n">
        <v>31.76</v>
      </c>
      <c r="I302" s="71" t="n"/>
    </row>
    <row r="303">
      <c r="A303" s="72" t="n">
        <v>2</v>
      </c>
      <c r="B303" s="48" t="inlineStr">
        <is>
          <t>103 FONKSİYONEL · KARDİYO</t>
        </is>
      </c>
      <c r="C303" s="72" t="inlineStr">
        <is>
          <t>m²</t>
        </is>
      </c>
      <c r="D303" s="59" t="n">
        <v>1</v>
      </c>
      <c r="E303" s="59" t="n"/>
      <c r="F303" s="59" t="n"/>
      <c r="G303" s="59" t="n"/>
      <c r="H303" s="73" t="n">
        <v>22.31</v>
      </c>
      <c r="I303" s="74" t="n"/>
    </row>
    <row r="304">
      <c r="A304" s="75" t="inlineStr">
        <is>
          <t>KISMİ YEKÜN</t>
        </is>
      </c>
      <c r="H304" s="76">
        <f>SUM(H302:H303)</f>
        <v/>
      </c>
      <c r="I304" s="77">
        <f>SUM(I302:I303)</f>
        <v/>
      </c>
    </row>
    <row r="305" ht="20" customHeight="1">
      <c r="A305" s="78" t="inlineStr">
        <is>
          <t>SAYFA YEKÜNÜ  ·  POZ F.1.4 METRAJI</t>
        </is>
      </c>
      <c r="H305" s="79">
        <f>H304-I304</f>
        <v/>
      </c>
    </row>
    <row r="307" ht="24" customHeight="1">
      <c r="A307" s="64" t="inlineStr">
        <is>
          <t>POZ NO: F.1.5      Asma tavan revizyon kapağı 300×300 mm, menteşeli</t>
        </is>
      </c>
    </row>
    <row r="308">
      <c r="A308" s="65" t="inlineStr">
        <is>
          <t>MAHAL:</t>
        </is>
      </c>
      <c r="B308" s="66" t="inlineStr">
        <is>
          <t>106·107·109·110</t>
        </is>
      </c>
      <c r="F308" s="65" t="inlineStr">
        <is>
          <t>BİRİM:</t>
        </is>
      </c>
      <c r="G308" s="67" t="inlineStr">
        <is>
          <t>ad</t>
        </is>
      </c>
      <c r="H308" s="65" t="inlineStr">
        <is>
          <t>PROJE REF:</t>
        </is>
      </c>
      <c r="I308" s="68" t="inlineStr">
        <is>
          <t>A-01…A-13</t>
        </is>
      </c>
    </row>
    <row r="309" ht="26" customHeight="1">
      <c r="A309" s="12" t="inlineStr">
        <is>
          <t>S.NO</t>
        </is>
      </c>
      <c r="B309" s="12" t="inlineStr">
        <is>
          <t>YAPILACAK İMALAT AÇIKLAMASI</t>
        </is>
      </c>
      <c r="C309" s="12" t="inlineStr">
        <is>
          <t>BİRİM</t>
        </is>
      </c>
      <c r="D309" s="12" t="inlineStr">
        <is>
          <t>ADET</t>
        </is>
      </c>
      <c r="E309" s="12" t="inlineStr">
        <is>
          <t>EN (m)</t>
        </is>
      </c>
      <c r="F309" s="12" t="inlineStr">
        <is>
          <t>BOY (m)</t>
        </is>
      </c>
      <c r="G309" s="12" t="inlineStr">
        <is>
          <t>YÜKSEKLİK (m)</t>
        </is>
      </c>
      <c r="H309" s="12" t="inlineStr">
        <is>
          <t>TOPLANAN (+)</t>
        </is>
      </c>
      <c r="I309" s="12" t="inlineStr">
        <is>
          <t>ÇIKARILAN (−)</t>
        </is>
      </c>
    </row>
    <row r="310">
      <c r="A310" s="69" t="n">
        <v>1</v>
      </c>
      <c r="B310" s="7" t="inlineStr">
        <is>
          <t>Her ıslak hacimde 1 adet</t>
        </is>
      </c>
      <c r="C310" s="69" t="inlineStr">
        <is>
          <t>ad</t>
        </is>
      </c>
      <c r="D310" s="55" t="n">
        <v>4</v>
      </c>
      <c r="E310" s="55" t="n"/>
      <c r="F310" s="55" t="n"/>
      <c r="G310" s="55" t="n"/>
      <c r="H310" s="70" t="n">
        <v>4</v>
      </c>
      <c r="I310" s="71" t="n"/>
    </row>
    <row r="311">
      <c r="A311" s="75" t="inlineStr">
        <is>
          <t>KISMİ YEKÜN</t>
        </is>
      </c>
      <c r="H311" s="76">
        <f>SUM(H310:H310)</f>
        <v/>
      </c>
      <c r="I311" s="77">
        <f>SUM(I310:I310)</f>
        <v/>
      </c>
    </row>
    <row r="312" ht="20" customHeight="1">
      <c r="A312" s="78" t="inlineStr">
        <is>
          <t>SAYFA YEKÜNÜ  ·  POZ F.1.5 METRAJI</t>
        </is>
      </c>
      <c r="H312" s="79">
        <f>H311-I311</f>
        <v/>
      </c>
    </row>
    <row r="314" ht="24" customHeight="1">
      <c r="A314" s="64" t="inlineStr">
        <is>
          <t>POZ NO: F.1.6      Akustik taşyünü asma baffle 1200×600×50 mm (αw ≈ 0,90)</t>
        </is>
      </c>
    </row>
    <row r="315">
      <c r="A315" s="65" t="inlineStr">
        <is>
          <t>MAHAL:</t>
        </is>
      </c>
      <c r="B315" s="66" t="inlineStr">
        <is>
          <t>102</t>
        </is>
      </c>
      <c r="F315" s="65" t="inlineStr">
        <is>
          <t>BİRİM:</t>
        </is>
      </c>
      <c r="G315" s="67" t="inlineStr">
        <is>
          <t>ad</t>
        </is>
      </c>
      <c r="H315" s="65" t="inlineStr">
        <is>
          <t>PROJE REF:</t>
        </is>
      </c>
      <c r="I315" s="68" t="inlineStr">
        <is>
          <t>A-01…A-13</t>
        </is>
      </c>
    </row>
    <row r="316" ht="26" customHeight="1">
      <c r="A316" s="12" t="inlineStr">
        <is>
          <t>S.NO</t>
        </is>
      </c>
      <c r="B316" s="12" t="inlineStr">
        <is>
          <t>YAPILACAK İMALAT AÇIKLAMASI</t>
        </is>
      </c>
      <c r="C316" s="12" t="inlineStr">
        <is>
          <t>BİRİM</t>
        </is>
      </c>
      <c r="D316" s="12" t="inlineStr">
        <is>
          <t>ADET</t>
        </is>
      </c>
      <c r="E316" s="12" t="inlineStr">
        <is>
          <t>EN (m)</t>
        </is>
      </c>
      <c r="F316" s="12" t="inlineStr">
        <is>
          <t>BOY (m)</t>
        </is>
      </c>
      <c r="G316" s="12" t="inlineStr">
        <is>
          <t>YÜKSEKLİK (m)</t>
        </is>
      </c>
      <c r="H316" s="12" t="inlineStr">
        <is>
          <t>TOPLANAN (+)</t>
        </is>
      </c>
      <c r="I316" s="12" t="inlineStr">
        <is>
          <t>ÇIKARILAN (−)</t>
        </is>
      </c>
    </row>
    <row r="317">
      <c r="A317" s="69" t="n">
        <v>1</v>
      </c>
      <c r="B317" s="7" t="inlineStr">
        <is>
          <t>Arena üzerinde</t>
        </is>
      </c>
      <c r="C317" s="69" t="inlineStr">
        <is>
          <t>ad</t>
        </is>
      </c>
      <c r="D317" s="55" t="n">
        <v>12</v>
      </c>
      <c r="E317" s="55" t="n"/>
      <c r="F317" s="55" t="n"/>
      <c r="G317" s="55" t="n"/>
      <c r="H317" s="70" t="n">
        <v>12</v>
      </c>
      <c r="I317" s="71" t="n"/>
    </row>
    <row r="318">
      <c r="A318" s="75" t="inlineStr">
        <is>
          <t>KISMİ YEKÜN</t>
        </is>
      </c>
      <c r="H318" s="76">
        <f>SUM(H317:H317)</f>
        <v/>
      </c>
      <c r="I318" s="77">
        <f>SUM(I317:I317)</f>
        <v/>
      </c>
    </row>
    <row r="319" ht="20" customHeight="1">
      <c r="A319" s="78" t="inlineStr">
        <is>
          <t>SAYFA YEKÜNÜ  ·  POZ F.1.6 METRAJI</t>
        </is>
      </c>
      <c r="H319" s="79">
        <f>H318-I318</f>
        <v/>
      </c>
    </row>
    <row r="321" ht="24" customHeight="1">
      <c r="A321" s="64" t="inlineStr">
        <is>
          <t>POZ NO: F.2.1      Saten alçı perdah 2 kat + akrilik astar + su bazlı silikonlu mat iç cephe boyası 2 kat (sınıf 1 yıkanabilir)</t>
        </is>
      </c>
    </row>
    <row r="322">
      <c r="A322" s="65" t="inlineStr">
        <is>
          <t>MAHAL:</t>
        </is>
      </c>
      <c r="B322" s="66" t="inlineStr">
        <is>
          <t>101–105 · 108</t>
        </is>
      </c>
      <c r="F322" s="65" t="inlineStr">
        <is>
          <t>BİRİM:</t>
        </is>
      </c>
      <c r="G322" s="67" t="inlineStr">
        <is>
          <t>m²</t>
        </is>
      </c>
      <c r="H322" s="65" t="inlineStr">
        <is>
          <t>PROJE REF:</t>
        </is>
      </c>
      <c r="I322" s="68" t="inlineStr">
        <is>
          <t>A-01…A-13</t>
        </is>
      </c>
    </row>
    <row r="323" ht="26" customHeight="1">
      <c r="A323" s="12" t="inlineStr">
        <is>
          <t>S.NO</t>
        </is>
      </c>
      <c r="B323" s="12" t="inlineStr">
        <is>
          <t>YAPILACAK İMALAT AÇIKLAMASI</t>
        </is>
      </c>
      <c r="C323" s="12" t="inlineStr">
        <is>
          <t>BİRİM</t>
        </is>
      </c>
      <c r="D323" s="12" t="inlineStr">
        <is>
          <t>ADET</t>
        </is>
      </c>
      <c r="E323" s="12" t="inlineStr">
        <is>
          <t>EN (m)</t>
        </is>
      </c>
      <c r="F323" s="12" t="inlineStr">
        <is>
          <t>BOY (m)</t>
        </is>
      </c>
      <c r="G323" s="12" t="inlineStr">
        <is>
          <t>YÜKSEKLİK (m)</t>
        </is>
      </c>
      <c r="H323" s="12" t="inlineStr">
        <is>
          <t>TOPLANAN (+)</t>
        </is>
      </c>
      <c r="I323" s="12" t="inlineStr">
        <is>
          <t>ÇIKARILAN (−)</t>
        </is>
      </c>
    </row>
    <row r="324">
      <c r="A324" s="69" t="n">
        <v>1</v>
      </c>
      <c r="B324" s="7" t="inlineStr">
        <is>
          <t>101 GİRİŞ · BANKO · SİRKÜLASYON — çevre 20,48 m × tavan 2,75 m</t>
        </is>
      </c>
      <c r="C324" s="69" t="inlineStr">
        <is>
          <t>m²</t>
        </is>
      </c>
      <c r="D324" s="55" t="n">
        <v>1</v>
      </c>
      <c r="E324" s="55" t="n">
        <v>20.48</v>
      </c>
      <c r="F324" s="55" t="n"/>
      <c r="G324" s="55" t="n">
        <v>2.75</v>
      </c>
      <c r="H324" s="70" t="n">
        <v>56.32</v>
      </c>
      <c r="I324" s="71" t="n"/>
    </row>
    <row r="325">
      <c r="A325" s="80" t="n">
        <v>2</v>
      </c>
      <c r="B325" s="81" t="inlineStr">
        <is>
          <t>K01 kapı boşluğu minha</t>
        </is>
      </c>
      <c r="C325" s="80" t="inlineStr">
        <is>
          <t>m²</t>
        </is>
      </c>
      <c r="D325" s="82" t="n">
        <v>1</v>
      </c>
      <c r="E325" s="82" t="n">
        <v>1.6</v>
      </c>
      <c r="F325" s="82" t="n">
        <v>2.4</v>
      </c>
      <c r="G325" s="82" t="n"/>
      <c r="H325" s="83" t="n"/>
      <c r="I325" s="84" t="n">
        <v>3.84</v>
      </c>
    </row>
    <row r="326">
      <c r="A326" s="80" t="n">
        <v>3</v>
      </c>
      <c r="B326" s="81" t="inlineStr">
        <is>
          <t>K09 kapı boşluğu minha</t>
        </is>
      </c>
      <c r="C326" s="80" t="inlineStr">
        <is>
          <t>m²</t>
        </is>
      </c>
      <c r="D326" s="82" t="n">
        <v>1</v>
      </c>
      <c r="E326" s="82" t="n">
        <v>0.7</v>
      </c>
      <c r="F326" s="82" t="n">
        <v>2</v>
      </c>
      <c r="G326" s="82" t="n"/>
      <c r="H326" s="83" t="n"/>
      <c r="I326" s="84" t="n">
        <v>1.4</v>
      </c>
    </row>
    <row r="327">
      <c r="A327" s="72" t="n">
        <v>4</v>
      </c>
      <c r="B327" s="48" t="inlineStr">
        <is>
          <t>102 ARENA · SERBEST AĞIRLIK — çevre 22,59 m × tavan 3,20 m</t>
        </is>
      </c>
      <c r="C327" s="72" t="inlineStr">
        <is>
          <t>m²</t>
        </is>
      </c>
      <c r="D327" s="59" t="n">
        <v>1</v>
      </c>
      <c r="E327" s="59" t="n">
        <v>22.59</v>
      </c>
      <c r="F327" s="59" t="n"/>
      <c r="G327" s="59" t="n">
        <v>3.2</v>
      </c>
      <c r="H327" s="73" t="n">
        <v>72.288</v>
      </c>
      <c r="I327" s="74" t="n"/>
    </row>
    <row r="328">
      <c r="A328" s="69" t="n">
        <v>5</v>
      </c>
      <c r="B328" s="7" t="inlineStr">
        <is>
          <t>103 FONKSİYONEL · KARDİYO — çevre 30,63 m × tavan 3,20 m</t>
        </is>
      </c>
      <c r="C328" s="69" t="inlineStr">
        <is>
          <t>m²</t>
        </is>
      </c>
      <c r="D328" s="55" t="n">
        <v>1</v>
      </c>
      <c r="E328" s="55" t="n">
        <v>30.63</v>
      </c>
      <c r="F328" s="55" t="n"/>
      <c r="G328" s="55" t="n">
        <v>3.2</v>
      </c>
      <c r="H328" s="70" t="n">
        <v>98.01600000000001</v>
      </c>
      <c r="I328" s="71" t="n"/>
    </row>
    <row r="329">
      <c r="A329" s="72" t="n">
        <v>6</v>
      </c>
      <c r="B329" s="48" t="inlineStr">
        <is>
          <t>104 DİNLENME SALONU — çevre 18,07 m × tavan 2,75 m</t>
        </is>
      </c>
      <c r="C329" s="72" t="inlineStr">
        <is>
          <t>m²</t>
        </is>
      </c>
      <c r="D329" s="59" t="n">
        <v>1</v>
      </c>
      <c r="E329" s="59" t="n">
        <v>18.07</v>
      </c>
      <c r="F329" s="59" t="n"/>
      <c r="G329" s="59" t="n">
        <v>2.75</v>
      </c>
      <c r="H329" s="73" t="n">
        <v>49.693</v>
      </c>
      <c r="I329" s="74" t="n"/>
    </row>
    <row r="330">
      <c r="A330" s="69" t="n">
        <v>7</v>
      </c>
      <c r="B330" s="7" t="inlineStr">
        <is>
          <t>105 ERKEK SOYUNMA — çevre 8,47 m × tavan 2,60 m</t>
        </is>
      </c>
      <c r="C330" s="69" t="inlineStr">
        <is>
          <t>m²</t>
        </is>
      </c>
      <c r="D330" s="55" t="n">
        <v>1</v>
      </c>
      <c r="E330" s="55" t="n">
        <v>8.470000000000001</v>
      </c>
      <c r="F330" s="55" t="n"/>
      <c r="G330" s="55" t="n">
        <v>2.6</v>
      </c>
      <c r="H330" s="70" t="n">
        <v>22.022</v>
      </c>
      <c r="I330" s="71" t="n"/>
    </row>
    <row r="331">
      <c r="A331" s="80" t="n">
        <v>8</v>
      </c>
      <c r="B331" s="81" t="inlineStr">
        <is>
          <t>K03 kapı boşluğu minha</t>
        </is>
      </c>
      <c r="C331" s="80" t="inlineStr">
        <is>
          <t>m²</t>
        </is>
      </c>
      <c r="D331" s="82" t="n">
        <v>1</v>
      </c>
      <c r="E331" s="82" t="n">
        <v>0.9</v>
      </c>
      <c r="F331" s="82" t="n">
        <v>2.1</v>
      </c>
      <c r="G331" s="82" t="n"/>
      <c r="H331" s="83" t="n"/>
      <c r="I331" s="84" t="n">
        <v>1.89</v>
      </c>
    </row>
    <row r="332">
      <c r="A332" s="69" t="n">
        <v>9</v>
      </c>
      <c r="B332" s="7" t="inlineStr">
        <is>
          <t>108 KADIN SOYUNMA — çevre 9,5 m × tavan 2,60 m</t>
        </is>
      </c>
      <c r="C332" s="69" t="inlineStr">
        <is>
          <t>m²</t>
        </is>
      </c>
      <c r="D332" s="55" t="n">
        <v>1</v>
      </c>
      <c r="E332" s="55" t="n">
        <v>9.5</v>
      </c>
      <c r="F332" s="55" t="n"/>
      <c r="G332" s="55" t="n">
        <v>2.6</v>
      </c>
      <c r="H332" s="70" t="n">
        <v>24.7</v>
      </c>
      <c r="I332" s="71" t="n"/>
    </row>
    <row r="333">
      <c r="A333" s="80" t="n">
        <v>10</v>
      </c>
      <c r="B333" s="81" t="inlineStr">
        <is>
          <t>K04 kapı boşluğu minha</t>
        </is>
      </c>
      <c r="C333" s="80" t="inlineStr">
        <is>
          <t>m²</t>
        </is>
      </c>
      <c r="D333" s="82" t="n">
        <v>1</v>
      </c>
      <c r="E333" s="82" t="n">
        <v>0.9</v>
      </c>
      <c r="F333" s="82" t="n">
        <v>2.1</v>
      </c>
      <c r="G333" s="82" t="n"/>
      <c r="H333" s="83" t="n"/>
      <c r="I333" s="84" t="n">
        <v>1.89</v>
      </c>
    </row>
    <row r="334">
      <c r="A334" s="80" t="n">
        <v>11</v>
      </c>
      <c r="B334" s="81" t="inlineStr">
        <is>
          <t>P01 · P02 cephe vitrini minha (5,62 + 2,02) × 2,40</t>
        </is>
      </c>
      <c r="C334" s="80" t="inlineStr">
        <is>
          <t>m²</t>
        </is>
      </c>
      <c r="D334" s="82" t="n">
        <v>1</v>
      </c>
      <c r="E334" s="82" t="n">
        <v>7.64</v>
      </c>
      <c r="F334" s="82" t="n"/>
      <c r="G334" s="82" t="n">
        <v>2.4</v>
      </c>
      <c r="H334" s="83" t="n"/>
      <c r="I334" s="84" t="n">
        <v>18.336</v>
      </c>
    </row>
    <row r="335">
      <c r="A335" s="80" t="n">
        <v>12</v>
      </c>
      <c r="B335" s="81" t="inlineStr">
        <is>
          <t>D6 ayna duvarı alanı minha</t>
        </is>
      </c>
      <c r="C335" s="80" t="inlineStr">
        <is>
          <t>m²</t>
        </is>
      </c>
      <c r="D335" s="82" t="n">
        <v>1</v>
      </c>
      <c r="E335" s="82" t="n">
        <v>4.8</v>
      </c>
      <c r="F335" s="82" t="n"/>
      <c r="G335" s="82" t="n">
        <v>2</v>
      </c>
      <c r="H335" s="83" t="n"/>
      <c r="I335" s="84" t="n">
        <v>9.6</v>
      </c>
    </row>
    <row r="336">
      <c r="A336" s="75" t="inlineStr">
        <is>
          <t>KISMİ YEKÜN</t>
        </is>
      </c>
      <c r="H336" s="76">
        <f>SUM(H324:H335)</f>
        <v/>
      </c>
      <c r="I336" s="77">
        <f>SUM(I324:I335)</f>
        <v/>
      </c>
    </row>
    <row r="337" ht="20" customHeight="1">
      <c r="A337" s="78" t="inlineStr">
        <is>
          <t>SAYFA YEKÜNÜ  ·  POZ F.2.1 METRAJI</t>
        </is>
      </c>
      <c r="H337" s="79">
        <f>H336-I336</f>
        <v/>
      </c>
    </row>
    <row r="339" ht="24" customHeight="1">
      <c r="A339" s="64" t="inlineStr">
        <is>
          <t>POZ NO: F.2.2      Su bazlı küf önleyici yarı mat banyo boyası, 2 kat — seramik üstü kalan yüzey</t>
        </is>
      </c>
    </row>
    <row r="340">
      <c r="A340" s="65" t="inlineStr">
        <is>
          <t>MAHAL:</t>
        </is>
      </c>
      <c r="B340" s="66" t="inlineStr">
        <is>
          <t>107 · 110</t>
        </is>
      </c>
      <c r="F340" s="65" t="inlineStr">
        <is>
          <t>BİRİM:</t>
        </is>
      </c>
      <c r="G340" s="67" t="inlineStr">
        <is>
          <t>m²</t>
        </is>
      </c>
      <c r="H340" s="65" t="inlineStr">
        <is>
          <t>PROJE REF:</t>
        </is>
      </c>
      <c r="I340" s="68" t="inlineStr">
        <is>
          <t>A-01…A-13</t>
        </is>
      </c>
    </row>
    <row r="341" ht="26" customHeight="1">
      <c r="A341" s="12" t="inlineStr">
        <is>
          <t>S.NO</t>
        </is>
      </c>
      <c r="B341" s="12" t="inlineStr">
        <is>
          <t>YAPILACAK İMALAT AÇIKLAMASI</t>
        </is>
      </c>
      <c r="C341" s="12" t="inlineStr">
        <is>
          <t>BİRİM</t>
        </is>
      </c>
      <c r="D341" s="12" t="inlineStr">
        <is>
          <t>ADET</t>
        </is>
      </c>
      <c r="E341" s="12" t="inlineStr">
        <is>
          <t>EN (m)</t>
        </is>
      </c>
      <c r="F341" s="12" t="inlineStr">
        <is>
          <t>BOY (m)</t>
        </is>
      </c>
      <c r="G341" s="12" t="inlineStr">
        <is>
          <t>YÜKSEKLİK (m)</t>
        </is>
      </c>
      <c r="H341" s="12" t="inlineStr">
        <is>
          <t>TOPLANAN (+)</t>
        </is>
      </c>
      <c r="I341" s="12" t="inlineStr">
        <is>
          <t>ÇIKARILAN (−)</t>
        </is>
      </c>
    </row>
    <row r="342">
      <c r="A342" s="69" t="n">
        <v>1</v>
      </c>
      <c r="B342" s="7" t="inlineStr">
        <is>
          <t>Erkek WC — çevre 5.4 m × (2,40 − 1,60) m</t>
        </is>
      </c>
      <c r="C342" s="69" t="inlineStr">
        <is>
          <t>m²</t>
        </is>
      </c>
      <c r="D342" s="55" t="n">
        <v>1</v>
      </c>
      <c r="E342" s="55" t="n">
        <v>5.4</v>
      </c>
      <c r="F342" s="55" t="n"/>
      <c r="G342" s="55" t="n">
        <v>0.8</v>
      </c>
      <c r="H342" s="70" t="n">
        <v>4.32</v>
      </c>
      <c r="I342" s="71" t="n"/>
    </row>
    <row r="343">
      <c r="A343" s="72" t="n">
        <v>2</v>
      </c>
      <c r="B343" s="48" t="inlineStr">
        <is>
          <t>Kadin WC — çevre 5.04 m × (2,40 − 1,60) m</t>
        </is>
      </c>
      <c r="C343" s="72" t="inlineStr">
        <is>
          <t>m²</t>
        </is>
      </c>
      <c r="D343" s="59" t="n">
        <v>1</v>
      </c>
      <c r="E343" s="59" t="n">
        <v>5.04</v>
      </c>
      <c r="F343" s="59" t="n"/>
      <c r="G343" s="59" t="n">
        <v>0.8</v>
      </c>
      <c r="H343" s="73" t="n">
        <v>4.032</v>
      </c>
      <c r="I343" s="74" t="n"/>
    </row>
    <row r="344">
      <c r="A344" s="75" t="inlineStr">
        <is>
          <t>KISMİ YEKÜN</t>
        </is>
      </c>
      <c r="H344" s="76">
        <f>SUM(H342:H343)</f>
        <v/>
      </c>
      <c r="I344" s="77">
        <f>SUM(I342:I343)</f>
        <v/>
      </c>
    </row>
    <row r="345" ht="20" customHeight="1">
      <c r="A345" s="78" t="inlineStr">
        <is>
          <t>SAYFA YEKÜNÜ  ·  POZ F.2.2 METRAJI</t>
        </is>
      </c>
      <c r="H345" s="79">
        <f>H344-I344</f>
        <v/>
      </c>
    </row>
    <row r="347" ht="24" customHeight="1">
      <c r="A347" s="64" t="inlineStr">
        <is>
          <t>POZ NO: F.2.3      Asma tavan alçıpan yüzeyi — derz bandı + saten alçı + astar + 2 kat mat boya</t>
        </is>
      </c>
    </row>
    <row r="348">
      <c r="A348" s="65" t="inlineStr">
        <is>
          <t>MAHAL:</t>
        </is>
      </c>
      <c r="B348" s="66" t="inlineStr">
        <is>
          <t>101 · 104 · 105 · 108</t>
        </is>
      </c>
      <c r="F348" s="65" t="inlineStr">
        <is>
          <t>BİRİM:</t>
        </is>
      </c>
      <c r="G348" s="67" t="inlineStr">
        <is>
          <t>m²</t>
        </is>
      </c>
      <c r="H348" s="65" t="inlineStr">
        <is>
          <t>PROJE REF:</t>
        </is>
      </c>
      <c r="I348" s="68" t="inlineStr">
        <is>
          <t>A-01…A-13</t>
        </is>
      </c>
    </row>
    <row r="349" ht="26" customHeight="1">
      <c r="A349" s="12" t="inlineStr">
        <is>
          <t>S.NO</t>
        </is>
      </c>
      <c r="B349" s="12" t="inlineStr">
        <is>
          <t>YAPILACAK İMALAT AÇIKLAMASI</t>
        </is>
      </c>
      <c r="C349" s="12" t="inlineStr">
        <is>
          <t>BİRİM</t>
        </is>
      </c>
      <c r="D349" s="12" t="inlineStr">
        <is>
          <t>ADET</t>
        </is>
      </c>
      <c r="E349" s="12" t="inlineStr">
        <is>
          <t>EN (m)</t>
        </is>
      </c>
      <c r="F349" s="12" t="inlineStr">
        <is>
          <t>BOY (m)</t>
        </is>
      </c>
      <c r="G349" s="12" t="inlineStr">
        <is>
          <t>YÜKSEKLİK (m)</t>
        </is>
      </c>
      <c r="H349" s="12" t="inlineStr">
        <is>
          <t>TOPLANAN (+)</t>
        </is>
      </c>
      <c r="I349" s="12" t="inlineStr">
        <is>
          <t>ÇIKARILAN (−)</t>
        </is>
      </c>
    </row>
    <row r="350">
      <c r="A350" s="69" t="n">
        <v>1</v>
      </c>
      <c r="B350" s="7" t="inlineStr">
        <is>
          <t>101 GİRİŞ · BANKO · SİRKÜLASYON</t>
        </is>
      </c>
      <c r="C350" s="69" t="inlineStr">
        <is>
          <t>m²</t>
        </is>
      </c>
      <c r="D350" s="55" t="n">
        <v>1</v>
      </c>
      <c r="E350" s="55" t="n"/>
      <c r="F350" s="55" t="n"/>
      <c r="G350" s="55" t="n"/>
      <c r="H350" s="70" t="n">
        <v>15.65</v>
      </c>
      <c r="I350" s="71" t="n"/>
    </row>
    <row r="351">
      <c r="A351" s="72" t="n">
        <v>2</v>
      </c>
      <c r="B351" s="48" t="inlineStr">
        <is>
          <t>104 DİNLENME SALONU</t>
        </is>
      </c>
      <c r="C351" s="72" t="inlineStr">
        <is>
          <t>m²</t>
        </is>
      </c>
      <c r="D351" s="59" t="n">
        <v>1</v>
      </c>
      <c r="E351" s="59" t="n"/>
      <c r="F351" s="59" t="n"/>
      <c r="G351" s="59" t="n"/>
      <c r="H351" s="73" t="n">
        <v>17.33</v>
      </c>
      <c r="I351" s="74" t="n"/>
    </row>
    <row r="352">
      <c r="A352" s="69" t="n">
        <v>3</v>
      </c>
      <c r="B352" s="7" t="inlineStr">
        <is>
          <t>105 ERKEK SOYUNMA</t>
        </is>
      </c>
      <c r="C352" s="69" t="inlineStr">
        <is>
          <t>m²</t>
        </is>
      </c>
      <c r="D352" s="55" t="n">
        <v>1</v>
      </c>
      <c r="E352" s="55" t="n"/>
      <c r="F352" s="55" t="n"/>
      <c r="G352" s="55" t="n"/>
      <c r="H352" s="70" t="n">
        <v>4.48</v>
      </c>
      <c r="I352" s="71" t="n"/>
    </row>
    <row r="353">
      <c r="A353" s="72" t="n">
        <v>4</v>
      </c>
      <c r="B353" s="48" t="inlineStr">
        <is>
          <t>108 KADIN SOYUNMA</t>
        </is>
      </c>
      <c r="C353" s="72" t="inlineStr">
        <is>
          <t>m²</t>
        </is>
      </c>
      <c r="D353" s="59" t="n">
        <v>1</v>
      </c>
      <c r="E353" s="59" t="n"/>
      <c r="F353" s="59" t="n"/>
      <c r="G353" s="59" t="n"/>
      <c r="H353" s="73" t="n">
        <v>5.59</v>
      </c>
      <c r="I353" s="74" t="n"/>
    </row>
    <row r="354">
      <c r="A354" s="75" t="inlineStr">
        <is>
          <t>KISMİ YEKÜN</t>
        </is>
      </c>
      <c r="H354" s="76">
        <f>SUM(H350:H353)</f>
        <v/>
      </c>
      <c r="I354" s="77">
        <f>SUM(I350:I353)</f>
        <v/>
      </c>
    </row>
    <row r="355" ht="20" customHeight="1">
      <c r="A355" s="78" t="inlineStr">
        <is>
          <t>SAYFA YEKÜNÜ  ·  POZ F.2.3 METRAJI</t>
        </is>
      </c>
      <c r="H355" s="79">
        <f>H354-I354</f>
        <v/>
      </c>
    </row>
    <row r="357" ht="24" customHeight="1">
      <c r="A357" s="64" t="inlineStr">
        <is>
          <t>POZ NO: G.1.1      K01 — Çift kanat cam kapı (2×800); Mevcut alüminyum doğrama + 8 mm temperli cam (1600×2400 mm)</t>
        </is>
      </c>
    </row>
    <row r="358">
      <c r="A358" s="65" t="inlineStr">
        <is>
          <t>MAHAL:</t>
        </is>
      </c>
      <c r="B358" s="66" t="inlineStr">
        <is>
          <t>101 Giriş</t>
        </is>
      </c>
      <c r="F358" s="65" t="inlineStr">
        <is>
          <t>BİRİM:</t>
        </is>
      </c>
      <c r="G358" s="67" t="inlineStr">
        <is>
          <t>ad</t>
        </is>
      </c>
      <c r="H358" s="65" t="inlineStr">
        <is>
          <t>PROJE REF:</t>
        </is>
      </c>
      <c r="I358" s="68" t="inlineStr">
        <is>
          <t>A-01…A-13</t>
        </is>
      </c>
    </row>
    <row r="359" ht="26" customHeight="1">
      <c r="A359" s="12" t="inlineStr">
        <is>
          <t>S.NO</t>
        </is>
      </c>
      <c r="B359" s="12" t="inlineStr">
        <is>
          <t>YAPILACAK İMALAT AÇIKLAMASI</t>
        </is>
      </c>
      <c r="C359" s="12" t="inlineStr">
        <is>
          <t>BİRİM</t>
        </is>
      </c>
      <c r="D359" s="12" t="inlineStr">
        <is>
          <t>ADET</t>
        </is>
      </c>
      <c r="E359" s="12" t="inlineStr">
        <is>
          <t>EN (m)</t>
        </is>
      </c>
      <c r="F359" s="12" t="inlineStr">
        <is>
          <t>BOY (m)</t>
        </is>
      </c>
      <c r="G359" s="12" t="inlineStr">
        <is>
          <t>YÜKSEKLİK (m)</t>
        </is>
      </c>
      <c r="H359" s="12" t="inlineStr">
        <is>
          <t>TOPLANAN (+)</t>
        </is>
      </c>
      <c r="I359" s="12" t="inlineStr">
        <is>
          <t>ÇIKARILAN (−)</t>
        </is>
      </c>
    </row>
    <row r="360">
      <c r="A360" s="69" t="n">
        <v>1</v>
      </c>
      <c r="B360" s="7" t="inlineStr">
        <is>
          <t>Panik kolu (EN 1125), hidrolik kapı kapatıcı, eşiksiz alt profil · Açılış yönü DIŞARI çevrilecek — mevcut doğrama revize</t>
        </is>
      </c>
      <c r="C360" s="69" t="inlineStr">
        <is>
          <t>ad</t>
        </is>
      </c>
      <c r="D360" s="55" t="n">
        <v>1</v>
      </c>
      <c r="E360" s="55" t="n"/>
      <c r="F360" s="55" t="n"/>
      <c r="G360" s="55" t="n"/>
      <c r="H360" s="70" t="n">
        <v>1</v>
      </c>
      <c r="I360" s="71" t="n"/>
    </row>
    <row r="361">
      <c r="A361" s="75" t="inlineStr">
        <is>
          <t>KISMİ YEKÜN</t>
        </is>
      </c>
      <c r="H361" s="76">
        <f>SUM(H360:H360)</f>
        <v/>
      </c>
      <c r="I361" s="77">
        <f>SUM(I360:I360)</f>
        <v/>
      </c>
    </row>
    <row r="362" ht="20" customHeight="1">
      <c r="A362" s="78" t="inlineStr">
        <is>
          <t>SAYFA YEKÜNÜ  ·  POZ G.1.1 METRAJI</t>
        </is>
      </c>
      <c r="H362" s="79">
        <f>H361-I361</f>
        <v/>
      </c>
    </row>
    <row r="364" ht="24" customHeight="1">
      <c r="A364" s="64" t="inlineStr">
        <is>
          <t>POZ NO: G.1.2      K02 — Tek kanat acil çıkış; Alüminyum + 8 mm temperli cam (1000×2100 mm)</t>
        </is>
      </c>
    </row>
    <row r="365">
      <c r="A365" s="65" t="inlineStr">
        <is>
          <t>MAHAL:</t>
        </is>
      </c>
      <c r="B365" s="66" t="inlineStr">
        <is>
          <t>101 → GB cephe</t>
        </is>
      </c>
      <c r="F365" s="65" t="inlineStr">
        <is>
          <t>BİRİM:</t>
        </is>
      </c>
      <c r="G365" s="67" t="inlineStr">
        <is>
          <t>ad</t>
        </is>
      </c>
      <c r="H365" s="65" t="inlineStr">
        <is>
          <t>PROJE REF:</t>
        </is>
      </c>
      <c r="I365" s="68" t="inlineStr">
        <is>
          <t>A-01…A-13</t>
        </is>
      </c>
    </row>
    <row r="366" ht="26" customHeight="1">
      <c r="A366" s="12" t="inlineStr">
        <is>
          <t>S.NO</t>
        </is>
      </c>
      <c r="B366" s="12" t="inlineStr">
        <is>
          <t>YAPILACAK İMALAT AÇIKLAMASI</t>
        </is>
      </c>
      <c r="C366" s="12" t="inlineStr">
        <is>
          <t>BİRİM</t>
        </is>
      </c>
      <c r="D366" s="12" t="inlineStr">
        <is>
          <t>ADET</t>
        </is>
      </c>
      <c r="E366" s="12" t="inlineStr">
        <is>
          <t>EN (m)</t>
        </is>
      </c>
      <c r="F366" s="12" t="inlineStr">
        <is>
          <t>BOY (m)</t>
        </is>
      </c>
      <c r="G366" s="12" t="inlineStr">
        <is>
          <t>YÜKSEKLİK (m)</t>
        </is>
      </c>
      <c r="H366" s="12" t="inlineStr">
        <is>
          <t>TOPLANAN (+)</t>
        </is>
      </c>
      <c r="I366" s="12" t="inlineStr">
        <is>
          <t>ÇIKARILAN (−)</t>
        </is>
      </c>
    </row>
    <row r="367">
      <c r="A367" s="69" t="n">
        <v>1</v>
      </c>
      <c r="B367" s="7" t="inlineStr">
        <is>
          <t>Panik bar (EN 1125), kapı kapatıcı, dışa açılır · Acil çıkış levhası + acil aydınlatma AY3 üstünde</t>
        </is>
      </c>
      <c r="C367" s="69" t="inlineStr">
        <is>
          <t>ad</t>
        </is>
      </c>
      <c r="D367" s="55" t="n">
        <v>1</v>
      </c>
      <c r="E367" s="55" t="n"/>
      <c r="F367" s="55" t="n"/>
      <c r="G367" s="55" t="n"/>
      <c r="H367" s="70" t="n">
        <v>1</v>
      </c>
      <c r="I367" s="71" t="n"/>
    </row>
    <row r="368">
      <c r="A368" s="75" t="inlineStr">
        <is>
          <t>KISMİ YEKÜN</t>
        </is>
      </c>
      <c r="H368" s="76">
        <f>SUM(H367:H367)</f>
        <v/>
      </c>
      <c r="I368" s="77">
        <f>SUM(I367:I367)</f>
        <v/>
      </c>
    </row>
    <row r="369" ht="20" customHeight="1">
      <c r="A369" s="78" t="inlineStr">
        <is>
          <t>SAYFA YEKÜNÜ  ·  POZ G.1.2 METRAJI</t>
        </is>
      </c>
      <c r="H369" s="79">
        <f>H368-I368</f>
        <v/>
      </c>
    </row>
    <row r="371" ht="24" customHeight="1">
      <c r="A371" s="64" t="inlineStr">
        <is>
          <t>POZ NO: G.1.3      K03 — Tek kanat panel kapı; MDF laminat kaplı kanat, WPC kasa ve pervaz (900×2100 mm)</t>
        </is>
      </c>
    </row>
    <row r="372">
      <c r="A372" s="65" t="inlineStr">
        <is>
          <t>MAHAL:</t>
        </is>
      </c>
      <c r="B372" s="66" t="inlineStr">
        <is>
          <t>105 Erkek soyunma</t>
        </is>
      </c>
      <c r="F372" s="65" t="inlineStr">
        <is>
          <t>BİRİM:</t>
        </is>
      </c>
      <c r="G372" s="67" t="inlineStr">
        <is>
          <t>ad</t>
        </is>
      </c>
      <c r="H372" s="65" t="inlineStr">
        <is>
          <t>PROJE REF:</t>
        </is>
      </c>
      <c r="I372" s="68" t="inlineStr">
        <is>
          <t>A-01…A-13</t>
        </is>
      </c>
    </row>
    <row r="373" ht="26" customHeight="1">
      <c r="A373" s="12" t="inlineStr">
        <is>
          <t>S.NO</t>
        </is>
      </c>
      <c r="B373" s="12" t="inlineStr">
        <is>
          <t>YAPILACAK İMALAT AÇIKLAMASI</t>
        </is>
      </c>
      <c r="C373" s="12" t="inlineStr">
        <is>
          <t>BİRİM</t>
        </is>
      </c>
      <c r="D373" s="12" t="inlineStr">
        <is>
          <t>ADET</t>
        </is>
      </c>
      <c r="E373" s="12" t="inlineStr">
        <is>
          <t>EN (m)</t>
        </is>
      </c>
      <c r="F373" s="12" t="inlineStr">
        <is>
          <t>BOY (m)</t>
        </is>
      </c>
      <c r="G373" s="12" t="inlineStr">
        <is>
          <t>YÜKSEKLİK (m)</t>
        </is>
      </c>
      <c r="H373" s="12" t="inlineStr">
        <is>
          <t>TOPLANAN (+)</t>
        </is>
      </c>
      <c r="I373" s="12" t="inlineStr">
        <is>
          <t>ÇIKARILAN (−)</t>
        </is>
      </c>
    </row>
    <row r="374">
      <c r="A374" s="69" t="n">
        <v>1</v>
      </c>
      <c r="B374" s="7" t="inlineStr">
        <is>
          <t>Paslanmaz kol, silindirli kilit, 3 adet menteşe · Alt kısmında 150 cm² net hava geçiş menfezi</t>
        </is>
      </c>
      <c r="C374" s="69" t="inlineStr">
        <is>
          <t>ad</t>
        </is>
      </c>
      <c r="D374" s="55" t="n">
        <v>1</v>
      </c>
      <c r="E374" s="55" t="n"/>
      <c r="F374" s="55" t="n"/>
      <c r="G374" s="55" t="n"/>
      <c r="H374" s="70" t="n">
        <v>1</v>
      </c>
      <c r="I374" s="71" t="n"/>
    </row>
    <row r="375">
      <c r="A375" s="75" t="inlineStr">
        <is>
          <t>KISMİ YEKÜN</t>
        </is>
      </c>
      <c r="H375" s="76">
        <f>SUM(H374:H374)</f>
        <v/>
      </c>
      <c r="I375" s="77">
        <f>SUM(I374:I374)</f>
        <v/>
      </c>
    </row>
    <row r="376" ht="20" customHeight="1">
      <c r="A376" s="78" t="inlineStr">
        <is>
          <t>SAYFA YEKÜNÜ  ·  POZ G.1.3 METRAJI</t>
        </is>
      </c>
      <c r="H376" s="79">
        <f>H375-I375</f>
        <v/>
      </c>
    </row>
    <row r="378" ht="24" customHeight="1">
      <c r="A378" s="64" t="inlineStr">
        <is>
          <t>POZ NO: G.1.4      K04 — Tek kanat panel kapı; MDF laminat kaplı kanat, WPC kasa ve pervaz (900×2100 mm)</t>
        </is>
      </c>
    </row>
    <row r="379">
      <c r="A379" s="65" t="inlineStr">
        <is>
          <t>MAHAL:</t>
        </is>
      </c>
      <c r="B379" s="66" t="inlineStr">
        <is>
          <t>108 Kadın soyunma</t>
        </is>
      </c>
      <c r="F379" s="65" t="inlineStr">
        <is>
          <t>BİRİM:</t>
        </is>
      </c>
      <c r="G379" s="67" t="inlineStr">
        <is>
          <t>ad</t>
        </is>
      </c>
      <c r="H379" s="65" t="inlineStr">
        <is>
          <t>PROJE REF:</t>
        </is>
      </c>
      <c r="I379" s="68" t="inlineStr">
        <is>
          <t>A-01…A-13</t>
        </is>
      </c>
    </row>
    <row r="380" ht="26" customHeight="1">
      <c r="A380" s="12" t="inlineStr">
        <is>
          <t>S.NO</t>
        </is>
      </c>
      <c r="B380" s="12" t="inlineStr">
        <is>
          <t>YAPILACAK İMALAT AÇIKLAMASI</t>
        </is>
      </c>
      <c r="C380" s="12" t="inlineStr">
        <is>
          <t>BİRİM</t>
        </is>
      </c>
      <c r="D380" s="12" t="inlineStr">
        <is>
          <t>ADET</t>
        </is>
      </c>
      <c r="E380" s="12" t="inlineStr">
        <is>
          <t>EN (m)</t>
        </is>
      </c>
      <c r="F380" s="12" t="inlineStr">
        <is>
          <t>BOY (m)</t>
        </is>
      </c>
      <c r="G380" s="12" t="inlineStr">
        <is>
          <t>YÜKSEKLİK (m)</t>
        </is>
      </c>
      <c r="H380" s="12" t="inlineStr">
        <is>
          <t>TOPLANAN (+)</t>
        </is>
      </c>
      <c r="I380" s="12" t="inlineStr">
        <is>
          <t>ÇIKARILAN (−)</t>
        </is>
      </c>
    </row>
    <row r="381">
      <c r="A381" s="69" t="n">
        <v>1</v>
      </c>
      <c r="B381" s="7" t="inlineStr">
        <is>
          <t>Paslanmaz kol, silindirli kilit, 3 adet menteşe · Alt kısmında 150 cm² net hava geçiş menfezi</t>
        </is>
      </c>
      <c r="C381" s="69" t="inlineStr">
        <is>
          <t>ad</t>
        </is>
      </c>
      <c r="D381" s="55" t="n">
        <v>1</v>
      </c>
      <c r="E381" s="55" t="n"/>
      <c r="F381" s="55" t="n"/>
      <c r="G381" s="55" t="n"/>
      <c r="H381" s="70" t="n">
        <v>1</v>
      </c>
      <c r="I381" s="71" t="n"/>
    </row>
    <row r="382">
      <c r="A382" s="75" t="inlineStr">
        <is>
          <t>KISMİ YEKÜN</t>
        </is>
      </c>
      <c r="H382" s="76">
        <f>SUM(H381:H381)</f>
        <v/>
      </c>
      <c r="I382" s="77">
        <f>SUM(I381:I381)</f>
        <v/>
      </c>
    </row>
    <row r="383" ht="20" customHeight="1">
      <c r="A383" s="78" t="inlineStr">
        <is>
          <t>SAYFA YEKÜNÜ  ·  POZ G.1.4 METRAJI</t>
        </is>
      </c>
      <c r="H383" s="79">
        <f>H382-I382</f>
        <v/>
      </c>
    </row>
    <row r="385" ht="24" customHeight="1">
      <c r="A385" s="64" t="inlineStr">
        <is>
          <t>POZ NO: G.1.5      K05 — Tek kanat WC kapısı; Tam WPC (su geçirmez) kanat ve kasa (700×2000 mm)</t>
        </is>
      </c>
    </row>
    <row r="386">
      <c r="A386" s="65" t="inlineStr">
        <is>
          <t>MAHAL:</t>
        </is>
      </c>
      <c r="B386" s="66" t="inlineStr">
        <is>
          <t>107 Erkek WC</t>
        </is>
      </c>
      <c r="F386" s="65" t="inlineStr">
        <is>
          <t>BİRİM:</t>
        </is>
      </c>
      <c r="G386" s="67" t="inlineStr">
        <is>
          <t>ad</t>
        </is>
      </c>
      <c r="H386" s="65" t="inlineStr">
        <is>
          <t>PROJE REF:</t>
        </is>
      </c>
      <c r="I386" s="68" t="inlineStr">
        <is>
          <t>A-01…A-13</t>
        </is>
      </c>
    </row>
    <row r="387" ht="26" customHeight="1">
      <c r="A387" s="12" t="inlineStr">
        <is>
          <t>S.NO</t>
        </is>
      </c>
      <c r="B387" s="12" t="inlineStr">
        <is>
          <t>YAPILACAK İMALAT AÇIKLAMASI</t>
        </is>
      </c>
      <c r="C387" s="12" t="inlineStr">
        <is>
          <t>BİRİM</t>
        </is>
      </c>
      <c r="D387" s="12" t="inlineStr">
        <is>
          <t>ADET</t>
        </is>
      </c>
      <c r="E387" s="12" t="inlineStr">
        <is>
          <t>EN (m)</t>
        </is>
      </c>
      <c r="F387" s="12" t="inlineStr">
        <is>
          <t>BOY (m)</t>
        </is>
      </c>
      <c r="G387" s="12" t="inlineStr">
        <is>
          <t>YÜKSEKLİK (m)</t>
        </is>
      </c>
      <c r="H387" s="12" t="inlineStr">
        <is>
          <t>TOPLANAN (+)</t>
        </is>
      </c>
      <c r="I387" s="12" t="inlineStr">
        <is>
          <t>ÇIKARILAN (−)</t>
        </is>
      </c>
    </row>
    <row r="388">
      <c r="A388" s="69" t="n">
        <v>1</v>
      </c>
      <c r="B388" s="7" t="inlineStr">
        <is>
          <t>Kilit göstergeli WC kolu, paslanmaz menteşe · Alt menfez 150 cm² — egzoz telafi havası</t>
        </is>
      </c>
      <c r="C388" s="69" t="inlineStr">
        <is>
          <t>ad</t>
        </is>
      </c>
      <c r="D388" s="55" t="n">
        <v>1</v>
      </c>
      <c r="E388" s="55" t="n"/>
      <c r="F388" s="55" t="n"/>
      <c r="G388" s="55" t="n"/>
      <c r="H388" s="70" t="n">
        <v>1</v>
      </c>
      <c r="I388" s="71" t="n"/>
    </row>
    <row r="389">
      <c r="A389" s="75" t="inlineStr">
        <is>
          <t>KISMİ YEKÜN</t>
        </is>
      </c>
      <c r="H389" s="76">
        <f>SUM(H388:H388)</f>
        <v/>
      </c>
      <c r="I389" s="77">
        <f>SUM(I388:I388)</f>
        <v/>
      </c>
    </row>
    <row r="390" ht="20" customHeight="1">
      <c r="A390" s="78" t="inlineStr">
        <is>
          <t>SAYFA YEKÜNÜ  ·  POZ G.1.5 METRAJI</t>
        </is>
      </c>
      <c r="H390" s="79">
        <f>H389-I389</f>
        <v/>
      </c>
    </row>
    <row r="392" ht="24" customHeight="1">
      <c r="A392" s="64" t="inlineStr">
        <is>
          <t>POZ NO: G.1.6      K06 — Tek kanat WC kapısı; Tam WPC (su geçirmez) kanat ve kasa (700×2000 mm)</t>
        </is>
      </c>
    </row>
    <row r="393">
      <c r="A393" s="65" t="inlineStr">
        <is>
          <t>MAHAL:</t>
        </is>
      </c>
      <c r="B393" s="66" t="inlineStr">
        <is>
          <t>110 Kadın WC</t>
        </is>
      </c>
      <c r="F393" s="65" t="inlineStr">
        <is>
          <t>BİRİM:</t>
        </is>
      </c>
      <c r="G393" s="67" t="inlineStr">
        <is>
          <t>ad</t>
        </is>
      </c>
      <c r="H393" s="65" t="inlineStr">
        <is>
          <t>PROJE REF:</t>
        </is>
      </c>
      <c r="I393" s="68" t="inlineStr">
        <is>
          <t>A-01…A-13</t>
        </is>
      </c>
    </row>
    <row r="394" ht="26" customHeight="1">
      <c r="A394" s="12" t="inlineStr">
        <is>
          <t>S.NO</t>
        </is>
      </c>
      <c r="B394" s="12" t="inlineStr">
        <is>
          <t>YAPILACAK İMALAT AÇIKLAMASI</t>
        </is>
      </c>
      <c r="C394" s="12" t="inlineStr">
        <is>
          <t>BİRİM</t>
        </is>
      </c>
      <c r="D394" s="12" t="inlineStr">
        <is>
          <t>ADET</t>
        </is>
      </c>
      <c r="E394" s="12" t="inlineStr">
        <is>
          <t>EN (m)</t>
        </is>
      </c>
      <c r="F394" s="12" t="inlineStr">
        <is>
          <t>BOY (m)</t>
        </is>
      </c>
      <c r="G394" s="12" t="inlineStr">
        <is>
          <t>YÜKSEKLİK (m)</t>
        </is>
      </c>
      <c r="H394" s="12" t="inlineStr">
        <is>
          <t>TOPLANAN (+)</t>
        </is>
      </c>
      <c r="I394" s="12" t="inlineStr">
        <is>
          <t>ÇIKARILAN (−)</t>
        </is>
      </c>
    </row>
    <row r="395">
      <c r="A395" s="69" t="n">
        <v>1</v>
      </c>
      <c r="B395" s="7" t="inlineStr">
        <is>
          <t>Kilit göstergeli WC kolu, paslanmaz menteşe · Alt menfez 150 cm² — egzoz telafi havası</t>
        </is>
      </c>
      <c r="C395" s="69" t="inlineStr">
        <is>
          <t>ad</t>
        </is>
      </c>
      <c r="D395" s="55" t="n">
        <v>1</v>
      </c>
      <c r="E395" s="55" t="n"/>
      <c r="F395" s="55" t="n"/>
      <c r="G395" s="55" t="n"/>
      <c r="H395" s="70" t="n">
        <v>1</v>
      </c>
      <c r="I395" s="71" t="n"/>
    </row>
    <row r="396">
      <c r="A396" s="75" t="inlineStr">
        <is>
          <t>KISMİ YEKÜN</t>
        </is>
      </c>
      <c r="H396" s="76">
        <f>SUM(H395:H395)</f>
        <v/>
      </c>
      <c r="I396" s="77">
        <f>SUM(I395:I395)</f>
        <v/>
      </c>
    </row>
    <row r="397" ht="20" customHeight="1">
      <c r="A397" s="78" t="inlineStr">
        <is>
          <t>SAYFA YEKÜNÜ  ·  POZ G.1.6 METRAJI</t>
        </is>
      </c>
      <c r="H397" s="79">
        <f>H396-I396</f>
        <v/>
      </c>
    </row>
    <row r="399" ht="24" customHeight="1">
      <c r="A399" s="64" t="inlineStr">
        <is>
          <t>POZ NO: G.1.7      K07 — Duş kapağı; 6 mm temperli cam, alüminyum profil (700×1950 mm)</t>
        </is>
      </c>
    </row>
    <row r="400">
      <c r="A400" s="65" t="inlineStr">
        <is>
          <t>MAHAL:</t>
        </is>
      </c>
      <c r="B400" s="66" t="inlineStr">
        <is>
          <t>106 Erkek duş</t>
        </is>
      </c>
      <c r="F400" s="65" t="inlineStr">
        <is>
          <t>BİRİM:</t>
        </is>
      </c>
      <c r="G400" s="67" t="inlineStr">
        <is>
          <t>ad</t>
        </is>
      </c>
      <c r="H400" s="65" t="inlineStr">
        <is>
          <t>PROJE REF:</t>
        </is>
      </c>
      <c r="I400" s="68" t="inlineStr">
        <is>
          <t>A-01…A-13</t>
        </is>
      </c>
    </row>
    <row r="401" ht="26" customHeight="1">
      <c r="A401" s="12" t="inlineStr">
        <is>
          <t>S.NO</t>
        </is>
      </c>
      <c r="B401" s="12" t="inlineStr">
        <is>
          <t>YAPILACAK İMALAT AÇIKLAMASI</t>
        </is>
      </c>
      <c r="C401" s="12" t="inlineStr">
        <is>
          <t>BİRİM</t>
        </is>
      </c>
      <c r="D401" s="12" t="inlineStr">
        <is>
          <t>ADET</t>
        </is>
      </c>
      <c r="E401" s="12" t="inlineStr">
        <is>
          <t>EN (m)</t>
        </is>
      </c>
      <c r="F401" s="12" t="inlineStr">
        <is>
          <t>BOY (m)</t>
        </is>
      </c>
      <c r="G401" s="12" t="inlineStr">
        <is>
          <t>YÜKSEKLİK (m)</t>
        </is>
      </c>
      <c r="H401" s="12" t="inlineStr">
        <is>
          <t>TOPLANAN (+)</t>
        </is>
      </c>
      <c r="I401" s="12" t="inlineStr">
        <is>
          <t>ÇIKARILAN (−)</t>
        </is>
      </c>
    </row>
    <row r="402">
      <c r="A402" s="69" t="n">
        <v>1</v>
      </c>
      <c r="B402" s="7" t="inlineStr">
        <is>
          <t>Paslanmaz menteşe, manyetik fitil · Alt kenar zeminden 15 mm yukarıda</t>
        </is>
      </c>
      <c r="C402" s="69" t="inlineStr">
        <is>
          <t>ad</t>
        </is>
      </c>
      <c r="D402" s="55" t="n">
        <v>1</v>
      </c>
      <c r="E402" s="55" t="n"/>
      <c r="F402" s="55" t="n"/>
      <c r="G402" s="55" t="n"/>
      <c r="H402" s="70" t="n">
        <v>1</v>
      </c>
      <c r="I402" s="71" t="n"/>
    </row>
    <row r="403">
      <c r="A403" s="75" t="inlineStr">
        <is>
          <t>KISMİ YEKÜN</t>
        </is>
      </c>
      <c r="H403" s="76">
        <f>SUM(H402:H402)</f>
        <v/>
      </c>
      <c r="I403" s="77">
        <f>SUM(I402:I402)</f>
        <v/>
      </c>
    </row>
    <row r="404" ht="20" customHeight="1">
      <c r="A404" s="78" t="inlineStr">
        <is>
          <t>SAYFA YEKÜNÜ  ·  POZ G.1.7 METRAJI</t>
        </is>
      </c>
      <c r="H404" s="79">
        <f>H403-I403</f>
        <v/>
      </c>
    </row>
    <row r="406" ht="24" customHeight="1">
      <c r="A406" s="64" t="inlineStr">
        <is>
          <t>POZ NO: G.1.8      K08 — Duş kapağı; 6 mm temperli cam, alüminyum profil (700×1950 mm)</t>
        </is>
      </c>
    </row>
    <row r="407">
      <c r="A407" s="65" t="inlineStr">
        <is>
          <t>MAHAL:</t>
        </is>
      </c>
      <c r="B407" s="66" t="inlineStr">
        <is>
          <t>109 Kadın duş</t>
        </is>
      </c>
      <c r="F407" s="65" t="inlineStr">
        <is>
          <t>BİRİM:</t>
        </is>
      </c>
      <c r="G407" s="67" t="inlineStr">
        <is>
          <t>ad</t>
        </is>
      </c>
      <c r="H407" s="65" t="inlineStr">
        <is>
          <t>PROJE REF:</t>
        </is>
      </c>
      <c r="I407" s="68" t="inlineStr">
        <is>
          <t>A-01…A-13</t>
        </is>
      </c>
    </row>
    <row r="408" ht="26" customHeight="1">
      <c r="A408" s="12" t="inlineStr">
        <is>
          <t>S.NO</t>
        </is>
      </c>
      <c r="B408" s="12" t="inlineStr">
        <is>
          <t>YAPILACAK İMALAT AÇIKLAMASI</t>
        </is>
      </c>
      <c r="C408" s="12" t="inlineStr">
        <is>
          <t>BİRİM</t>
        </is>
      </c>
      <c r="D408" s="12" t="inlineStr">
        <is>
          <t>ADET</t>
        </is>
      </c>
      <c r="E408" s="12" t="inlineStr">
        <is>
          <t>EN (m)</t>
        </is>
      </c>
      <c r="F408" s="12" t="inlineStr">
        <is>
          <t>BOY (m)</t>
        </is>
      </c>
      <c r="G408" s="12" t="inlineStr">
        <is>
          <t>YÜKSEKLİK (m)</t>
        </is>
      </c>
      <c r="H408" s="12" t="inlineStr">
        <is>
          <t>TOPLANAN (+)</t>
        </is>
      </c>
      <c r="I408" s="12" t="inlineStr">
        <is>
          <t>ÇIKARILAN (−)</t>
        </is>
      </c>
    </row>
    <row r="409">
      <c r="A409" s="69" t="n">
        <v>1</v>
      </c>
      <c r="B409" s="7" t="inlineStr">
        <is>
          <t>Paslanmaz menteşe, manyetik fitil · Alt kenar zeminden 15 mm yukarıda</t>
        </is>
      </c>
      <c r="C409" s="69" t="inlineStr">
        <is>
          <t>ad</t>
        </is>
      </c>
      <c r="D409" s="55" t="n">
        <v>1</v>
      </c>
      <c r="E409" s="55" t="n"/>
      <c r="F409" s="55" t="n"/>
      <c r="G409" s="55" t="n"/>
      <c r="H409" s="70" t="n">
        <v>1</v>
      </c>
      <c r="I409" s="71" t="n"/>
    </row>
    <row r="410">
      <c r="A410" s="75" t="inlineStr">
        <is>
          <t>KISMİ YEKÜN</t>
        </is>
      </c>
      <c r="H410" s="76">
        <f>SUM(H409:H409)</f>
        <v/>
      </c>
      <c r="I410" s="77">
        <f>SUM(I409:I409)</f>
        <v/>
      </c>
    </row>
    <row r="411" ht="20" customHeight="1">
      <c r="A411" s="78" t="inlineStr">
        <is>
          <t>SAYFA YEKÜNÜ  ·  POZ G.1.8 METRAJI</t>
        </is>
      </c>
      <c r="H411" s="79">
        <f>H410-I410</f>
        <v/>
      </c>
    </row>
    <row r="413" ht="24" customHeight="1">
      <c r="A413" s="64" t="inlineStr">
        <is>
          <t>POZ NO: G.1.9      K09 — Tek kanat dolap kapağı; MDF laminat, banko arkası niş (700×2000 mm)</t>
        </is>
      </c>
    </row>
    <row r="414">
      <c r="A414" s="65" t="inlineStr">
        <is>
          <t>MAHAL:</t>
        </is>
      </c>
      <c r="B414" s="66" t="inlineStr">
        <is>
          <t>101 Depo / teknik dolap</t>
        </is>
      </c>
      <c r="F414" s="65" t="inlineStr">
        <is>
          <t>BİRİM:</t>
        </is>
      </c>
      <c r="G414" s="67" t="inlineStr">
        <is>
          <t>ad</t>
        </is>
      </c>
      <c r="H414" s="65" t="inlineStr">
        <is>
          <t>PROJE REF:</t>
        </is>
      </c>
      <c r="I414" s="68" t="inlineStr">
        <is>
          <t>A-01…A-13</t>
        </is>
      </c>
    </row>
    <row r="415" ht="26" customHeight="1">
      <c r="A415" s="12" t="inlineStr">
        <is>
          <t>S.NO</t>
        </is>
      </c>
      <c r="B415" s="12" t="inlineStr">
        <is>
          <t>YAPILACAK İMALAT AÇIKLAMASI</t>
        </is>
      </c>
      <c r="C415" s="12" t="inlineStr">
        <is>
          <t>BİRİM</t>
        </is>
      </c>
      <c r="D415" s="12" t="inlineStr">
        <is>
          <t>ADET</t>
        </is>
      </c>
      <c r="E415" s="12" t="inlineStr">
        <is>
          <t>EN (m)</t>
        </is>
      </c>
      <c r="F415" s="12" t="inlineStr">
        <is>
          <t>BOY (m)</t>
        </is>
      </c>
      <c r="G415" s="12" t="inlineStr">
        <is>
          <t>YÜKSEKLİK (m)</t>
        </is>
      </c>
      <c r="H415" s="12" t="inlineStr">
        <is>
          <t>TOPLANAN (+)</t>
        </is>
      </c>
      <c r="I415" s="12" t="inlineStr">
        <is>
          <t>ÇIKARILAN (−)</t>
        </is>
      </c>
    </row>
    <row r="416">
      <c r="A416" s="69" t="n">
        <v>1</v>
      </c>
      <c r="B416" s="7" t="inlineStr">
        <is>
          <t>Bas-aç mandal, kilitli · Havalandırma menfezli — NVR ve router ısısı için</t>
        </is>
      </c>
      <c r="C416" s="69" t="inlineStr">
        <is>
          <t>ad</t>
        </is>
      </c>
      <c r="D416" s="55" t="n">
        <v>1</v>
      </c>
      <c r="E416" s="55" t="n"/>
      <c r="F416" s="55" t="n"/>
      <c r="G416" s="55" t="n"/>
      <c r="H416" s="70" t="n">
        <v>1</v>
      </c>
      <c r="I416" s="71" t="n"/>
    </row>
    <row r="417">
      <c r="A417" s="75" t="inlineStr">
        <is>
          <t>KISMİ YEKÜN</t>
        </is>
      </c>
      <c r="H417" s="76">
        <f>SUM(H416:H416)</f>
        <v/>
      </c>
      <c r="I417" s="77">
        <f>SUM(I416:I416)</f>
        <v/>
      </c>
    </row>
    <row r="418" ht="20" customHeight="1">
      <c r="A418" s="78" t="inlineStr">
        <is>
          <t>SAYFA YEKÜNÜ  ·  POZ G.1.9 METRAJI</t>
        </is>
      </c>
      <c r="H418" s="79">
        <f>H417-I417</f>
        <v/>
      </c>
    </row>
    <row r="420" ht="24" customHeight="1">
      <c r="A420" s="64" t="inlineStr">
        <is>
          <t>POZ NO: G.2.1      D6 ayna duvarı — 18 mm su kontraplağı altlık + 6 mm güvenlik filmli ayna, alt/üst alüminyum mekanik emniyet profilli</t>
        </is>
      </c>
    </row>
    <row r="421">
      <c r="A421" s="65" t="inlineStr">
        <is>
          <t>MAHAL:</t>
        </is>
      </c>
      <c r="B421" s="66" t="inlineStr">
        <is>
          <t>102</t>
        </is>
      </c>
      <c r="F421" s="65" t="inlineStr">
        <is>
          <t>BİRİM:</t>
        </is>
      </c>
      <c r="G421" s="67" t="inlineStr">
        <is>
          <t>m²</t>
        </is>
      </c>
      <c r="H421" s="65" t="inlineStr">
        <is>
          <t>PROJE REF:</t>
        </is>
      </c>
      <c r="I421" s="68" t="inlineStr">
        <is>
          <t>A-01…A-13</t>
        </is>
      </c>
    </row>
    <row r="422" ht="26" customHeight="1">
      <c r="A422" s="12" t="inlineStr">
        <is>
          <t>S.NO</t>
        </is>
      </c>
      <c r="B422" s="12" t="inlineStr">
        <is>
          <t>YAPILACAK İMALAT AÇIKLAMASI</t>
        </is>
      </c>
      <c r="C422" s="12" t="inlineStr">
        <is>
          <t>BİRİM</t>
        </is>
      </c>
      <c r="D422" s="12" t="inlineStr">
        <is>
          <t>ADET</t>
        </is>
      </c>
      <c r="E422" s="12" t="inlineStr">
        <is>
          <t>EN (m)</t>
        </is>
      </c>
      <c r="F422" s="12" t="inlineStr">
        <is>
          <t>BOY (m)</t>
        </is>
      </c>
      <c r="G422" s="12" t="inlineStr">
        <is>
          <t>YÜKSEKLİK (m)</t>
        </is>
      </c>
      <c r="H422" s="12" t="inlineStr">
        <is>
          <t>TOPLANAN (+)</t>
        </is>
      </c>
      <c r="I422" s="12" t="inlineStr">
        <is>
          <t>ÇIKARILAN (−)</t>
        </is>
      </c>
    </row>
    <row r="423">
      <c r="A423" s="69" t="n">
        <v>1</v>
      </c>
      <c r="B423" s="7" t="inlineStr">
        <is>
          <t>Arena güney duvarı — alt kot +0,30 / üst kot +2,30</t>
        </is>
      </c>
      <c r="C423" s="69" t="inlineStr">
        <is>
          <t>m²</t>
        </is>
      </c>
      <c r="D423" s="55" t="n">
        <v>1</v>
      </c>
      <c r="E423" s="55" t="n">
        <v>4.8</v>
      </c>
      <c r="F423" s="55" t="n"/>
      <c r="G423" s="55" t="n">
        <v>2</v>
      </c>
      <c r="H423" s="70" t="n">
        <v>9.6</v>
      </c>
      <c r="I423" s="71" t="n"/>
    </row>
    <row r="424">
      <c r="A424" s="75" t="inlineStr">
        <is>
          <t>KISMİ YEKÜN</t>
        </is>
      </c>
      <c r="H424" s="76">
        <f>SUM(H423:H423)</f>
        <v/>
      </c>
      <c r="I424" s="77">
        <f>SUM(I423:I423)</f>
        <v/>
      </c>
    </row>
    <row r="425" ht="20" customHeight="1">
      <c r="A425" s="78" t="inlineStr">
        <is>
          <t>SAYFA YEKÜNÜ  ·  POZ G.2.1 METRAJI</t>
        </is>
      </c>
      <c r="H425" s="79">
        <f>H424-I424</f>
        <v/>
      </c>
    </row>
    <row r="427" ht="24" customHeight="1">
      <c r="A427" s="64" t="inlineStr">
        <is>
          <t>POZ NO: G.2.2      Boy aynası 60×110 cm, güvenlik filmli</t>
        </is>
      </c>
    </row>
    <row r="428">
      <c r="A428" s="65" t="inlineStr">
        <is>
          <t>MAHAL:</t>
        </is>
      </c>
      <c r="B428" s="66" t="inlineStr">
        <is>
          <t>105 · 108</t>
        </is>
      </c>
      <c r="F428" s="65" t="inlineStr">
        <is>
          <t>BİRİM:</t>
        </is>
      </c>
      <c r="G428" s="67" t="inlineStr">
        <is>
          <t>ad</t>
        </is>
      </c>
      <c r="H428" s="65" t="inlineStr">
        <is>
          <t>PROJE REF:</t>
        </is>
      </c>
      <c r="I428" s="68" t="inlineStr">
        <is>
          <t>A-01…A-13</t>
        </is>
      </c>
    </row>
    <row r="429" ht="26" customHeight="1">
      <c r="A429" s="12" t="inlineStr">
        <is>
          <t>S.NO</t>
        </is>
      </c>
      <c r="B429" s="12" t="inlineStr">
        <is>
          <t>YAPILACAK İMALAT AÇIKLAMASI</t>
        </is>
      </c>
      <c r="C429" s="12" t="inlineStr">
        <is>
          <t>BİRİM</t>
        </is>
      </c>
      <c r="D429" s="12" t="inlineStr">
        <is>
          <t>ADET</t>
        </is>
      </c>
      <c r="E429" s="12" t="inlineStr">
        <is>
          <t>EN (m)</t>
        </is>
      </c>
      <c r="F429" s="12" t="inlineStr">
        <is>
          <t>BOY (m)</t>
        </is>
      </c>
      <c r="G429" s="12" t="inlineStr">
        <is>
          <t>YÜKSEKLİK (m)</t>
        </is>
      </c>
      <c r="H429" s="12" t="inlineStr">
        <is>
          <t>TOPLANAN (+)</t>
        </is>
      </c>
      <c r="I429" s="12" t="inlineStr">
        <is>
          <t>ÇIKARILAN (−)</t>
        </is>
      </c>
    </row>
    <row r="430">
      <c r="A430" s="69" t="n">
        <v>1</v>
      </c>
      <c r="B430" s="7" t="inlineStr">
        <is>
          <t>Soyunma mahalleri</t>
        </is>
      </c>
      <c r="C430" s="69" t="inlineStr">
        <is>
          <t>ad</t>
        </is>
      </c>
      <c r="D430" s="55" t="n">
        <v>2</v>
      </c>
      <c r="E430" s="55" t="n"/>
      <c r="F430" s="55" t="n"/>
      <c r="G430" s="55" t="n"/>
      <c r="H430" s="70" t="n">
        <v>2</v>
      </c>
      <c r="I430" s="71" t="n"/>
    </row>
    <row r="431">
      <c r="A431" s="75" t="inlineStr">
        <is>
          <t>KISMİ YEKÜN</t>
        </is>
      </c>
      <c r="H431" s="76">
        <f>SUM(H430:H430)</f>
        <v/>
      </c>
      <c r="I431" s="77">
        <f>SUM(I430:I430)</f>
        <v/>
      </c>
    </row>
    <row r="432" ht="20" customHeight="1">
      <c r="A432" s="78" t="inlineStr">
        <is>
          <t>SAYFA YEKÜNÜ  ·  POZ G.2.2 METRAJI</t>
        </is>
      </c>
      <c r="H432" s="79">
        <f>H431-I431</f>
        <v/>
      </c>
    </row>
    <row r="434" ht="24" customHeight="1">
      <c r="A434" s="64" t="inlineStr">
        <is>
          <t>POZ NO: G.2.3      Cephe vitrininde buzlu folyo (alt 1,20 m) + güneş kontrol filmi</t>
        </is>
      </c>
    </row>
    <row r="435">
      <c r="A435" s="65" t="inlineStr">
        <is>
          <t>MAHAL:</t>
        </is>
      </c>
      <c r="B435" s="66" t="inlineStr">
        <is>
          <t>101</t>
        </is>
      </c>
      <c r="F435" s="65" t="inlineStr">
        <is>
          <t>BİRİM:</t>
        </is>
      </c>
      <c r="G435" s="67" t="inlineStr">
        <is>
          <t>m²</t>
        </is>
      </c>
      <c r="H435" s="65" t="inlineStr">
        <is>
          <t>PROJE REF:</t>
        </is>
      </c>
      <c r="I435" s="68" t="inlineStr">
        <is>
          <t>A-01…A-13</t>
        </is>
      </c>
    </row>
    <row r="436" ht="26" customHeight="1">
      <c r="A436" s="12" t="inlineStr">
        <is>
          <t>S.NO</t>
        </is>
      </c>
      <c r="B436" s="12" t="inlineStr">
        <is>
          <t>YAPILACAK İMALAT AÇIKLAMASI</t>
        </is>
      </c>
      <c r="C436" s="12" t="inlineStr">
        <is>
          <t>BİRİM</t>
        </is>
      </c>
      <c r="D436" s="12" t="inlineStr">
        <is>
          <t>ADET</t>
        </is>
      </c>
      <c r="E436" s="12" t="inlineStr">
        <is>
          <t>EN (m)</t>
        </is>
      </c>
      <c r="F436" s="12" t="inlineStr">
        <is>
          <t>BOY (m)</t>
        </is>
      </c>
      <c r="G436" s="12" t="inlineStr">
        <is>
          <t>YÜKSEKLİK (m)</t>
        </is>
      </c>
      <c r="H436" s="12" t="inlineStr">
        <is>
          <t>TOPLANAN (+)</t>
        </is>
      </c>
      <c r="I436" s="12" t="inlineStr">
        <is>
          <t>ÇIKARILAN (−)</t>
        </is>
      </c>
    </row>
    <row r="437">
      <c r="A437" s="69" t="n">
        <v>1</v>
      </c>
      <c r="B437" s="7" t="inlineStr">
        <is>
          <t>P01 batı cephe vitrini — buzlu bant</t>
        </is>
      </c>
      <c r="C437" s="69" t="inlineStr">
        <is>
          <t>m²</t>
        </is>
      </c>
      <c r="D437" s="55" t="n">
        <v>1</v>
      </c>
      <c r="E437" s="55" t="n">
        <v>5.62</v>
      </c>
      <c r="F437" s="55" t="n"/>
      <c r="G437" s="55" t="n">
        <v>1.2</v>
      </c>
      <c r="H437" s="70" t="n">
        <v>6.744</v>
      </c>
      <c r="I437" s="71" t="n"/>
    </row>
    <row r="438">
      <c r="A438" s="72" t="n">
        <v>2</v>
      </c>
      <c r="B438" s="48" t="inlineStr">
        <is>
          <t>P02 GB cephe vitrini — buzlu bant</t>
        </is>
      </c>
      <c r="C438" s="72" t="inlineStr">
        <is>
          <t>m²</t>
        </is>
      </c>
      <c r="D438" s="59" t="n">
        <v>1</v>
      </c>
      <c r="E438" s="59" t="n">
        <v>2.02</v>
      </c>
      <c r="F438" s="59" t="n"/>
      <c r="G438" s="59" t="n">
        <v>1.2</v>
      </c>
      <c r="H438" s="73" t="n">
        <v>2.424</v>
      </c>
      <c r="I438" s="74" t="n"/>
    </row>
    <row r="439">
      <c r="A439" s="69" t="n">
        <v>3</v>
      </c>
      <c r="B439" s="7" t="inlineStr">
        <is>
          <t>P01 + P02 üst bant güneş kontrol filmi</t>
        </is>
      </c>
      <c r="C439" s="69" t="inlineStr">
        <is>
          <t>m²</t>
        </is>
      </c>
      <c r="D439" s="55" t="n">
        <v>1</v>
      </c>
      <c r="E439" s="55" t="n">
        <v>7.64</v>
      </c>
      <c r="F439" s="55" t="n"/>
      <c r="G439" s="55" t="n">
        <v>1.2</v>
      </c>
      <c r="H439" s="70" t="n">
        <v>9.167999999999999</v>
      </c>
      <c r="I439" s="71" t="n"/>
    </row>
    <row r="440">
      <c r="A440" s="75" t="inlineStr">
        <is>
          <t>KISMİ YEKÜN</t>
        </is>
      </c>
      <c r="H440" s="76">
        <f>SUM(H437:H439)</f>
        <v/>
      </c>
      <c r="I440" s="77">
        <f>SUM(I437:I439)</f>
        <v/>
      </c>
    </row>
    <row r="441" ht="20" customHeight="1">
      <c r="A441" s="78" t="inlineStr">
        <is>
          <t>SAYFA YEKÜNÜ  ·  POZ G.2.3 METRAJI</t>
        </is>
      </c>
      <c r="H441" s="79">
        <f>H440-I440</f>
        <v/>
      </c>
    </row>
    <row r="443" ht="24" customHeight="1">
      <c r="A443" s="64" t="inlineStr">
        <is>
          <t>POZ NO: H.1.1      Resepsiyon bankosu 120×60×110 cm — lake MDF gövde + kompakt lamine tezgâh, gömme kuvvet ve veri kutulu</t>
        </is>
      </c>
    </row>
    <row r="444">
      <c r="A444" s="65" t="inlineStr">
        <is>
          <t>MAHAL:</t>
        </is>
      </c>
      <c r="B444" s="66" t="inlineStr">
        <is>
          <t>101</t>
        </is>
      </c>
      <c r="F444" s="65" t="inlineStr">
        <is>
          <t>BİRİM:</t>
        </is>
      </c>
      <c r="G444" s="67" t="inlineStr">
        <is>
          <t>ad</t>
        </is>
      </c>
      <c r="H444" s="65" t="inlineStr">
        <is>
          <t>PROJE REF:</t>
        </is>
      </c>
      <c r="I444" s="68" t="inlineStr">
        <is>
          <t>A-01…A-13</t>
        </is>
      </c>
    </row>
    <row r="445" ht="26" customHeight="1">
      <c r="A445" s="12" t="inlineStr">
        <is>
          <t>S.NO</t>
        </is>
      </c>
      <c r="B445" s="12" t="inlineStr">
        <is>
          <t>YAPILACAK İMALAT AÇIKLAMASI</t>
        </is>
      </c>
      <c r="C445" s="12" t="inlineStr">
        <is>
          <t>BİRİM</t>
        </is>
      </c>
      <c r="D445" s="12" t="inlineStr">
        <is>
          <t>ADET</t>
        </is>
      </c>
      <c r="E445" s="12" t="inlineStr">
        <is>
          <t>EN (m)</t>
        </is>
      </c>
      <c r="F445" s="12" t="inlineStr">
        <is>
          <t>BOY (m)</t>
        </is>
      </c>
      <c r="G445" s="12" t="inlineStr">
        <is>
          <t>YÜKSEKLİK (m)</t>
        </is>
      </c>
      <c r="H445" s="12" t="inlineStr">
        <is>
          <t>TOPLANAN (+)</t>
        </is>
      </c>
      <c r="I445" s="12" t="inlineStr">
        <is>
          <t>ÇIKARILAN (−)</t>
        </is>
      </c>
    </row>
    <row r="446">
      <c r="A446" s="69" t="n">
        <v>1</v>
      </c>
      <c r="B446" s="7" t="inlineStr">
        <is>
          <t>Giriş bankosu</t>
        </is>
      </c>
      <c r="C446" s="69" t="inlineStr">
        <is>
          <t>ad</t>
        </is>
      </c>
      <c r="D446" s="55" t="n">
        <v>1</v>
      </c>
      <c r="E446" s="55" t="n"/>
      <c r="F446" s="55" t="n"/>
      <c r="G446" s="55" t="n"/>
      <c r="H446" s="70" t="n">
        <v>1</v>
      </c>
      <c r="I446" s="71" t="n"/>
    </row>
    <row r="447">
      <c r="A447" s="75" t="inlineStr">
        <is>
          <t>KISMİ YEKÜN</t>
        </is>
      </c>
      <c r="H447" s="76">
        <f>SUM(H446:H446)</f>
        <v/>
      </c>
      <c r="I447" s="77">
        <f>SUM(I446:I446)</f>
        <v/>
      </c>
    </row>
    <row r="448" ht="20" customHeight="1">
      <c r="A448" s="78" t="inlineStr">
        <is>
          <t>SAYFA YEKÜNÜ  ·  POZ H.1.1 METRAJI</t>
        </is>
      </c>
      <c r="H448" s="79">
        <f>H447-I447</f>
        <v/>
      </c>
    </row>
    <row r="450" ht="24" customHeight="1">
      <c r="A450" s="64" t="inlineStr">
        <is>
          <t>POZ NO: H.1.2      8 gözlü soyunma dolabı 160×45×180 cm — laminat, havalandırma delikli, kilitli</t>
        </is>
      </c>
    </row>
    <row r="451">
      <c r="A451" s="65" t="inlineStr">
        <is>
          <t>MAHAL:</t>
        </is>
      </c>
      <c r="B451" s="66" t="inlineStr">
        <is>
          <t>105 · 108</t>
        </is>
      </c>
      <c r="F451" s="65" t="inlineStr">
        <is>
          <t>BİRİM:</t>
        </is>
      </c>
      <c r="G451" s="67" t="inlineStr">
        <is>
          <t>ad</t>
        </is>
      </c>
      <c r="H451" s="65" t="inlineStr">
        <is>
          <t>PROJE REF:</t>
        </is>
      </c>
      <c r="I451" s="68" t="inlineStr">
        <is>
          <t>A-01…A-13</t>
        </is>
      </c>
    </row>
    <row r="452" ht="26" customHeight="1">
      <c r="A452" s="12" t="inlineStr">
        <is>
          <t>S.NO</t>
        </is>
      </c>
      <c r="B452" s="12" t="inlineStr">
        <is>
          <t>YAPILACAK İMALAT AÇIKLAMASI</t>
        </is>
      </c>
      <c r="C452" s="12" t="inlineStr">
        <is>
          <t>BİRİM</t>
        </is>
      </c>
      <c r="D452" s="12" t="inlineStr">
        <is>
          <t>ADET</t>
        </is>
      </c>
      <c r="E452" s="12" t="inlineStr">
        <is>
          <t>EN (m)</t>
        </is>
      </c>
      <c r="F452" s="12" t="inlineStr">
        <is>
          <t>BOY (m)</t>
        </is>
      </c>
      <c r="G452" s="12" t="inlineStr">
        <is>
          <t>YÜKSEKLİK (m)</t>
        </is>
      </c>
      <c r="H452" s="12" t="inlineStr">
        <is>
          <t>TOPLANAN (+)</t>
        </is>
      </c>
      <c r="I452" s="12" t="inlineStr">
        <is>
          <t>ÇIKARILAN (−)</t>
        </is>
      </c>
    </row>
    <row r="453">
      <c r="A453" s="69" t="n">
        <v>1</v>
      </c>
      <c r="B453" s="7" t="inlineStr">
        <is>
          <t>Erkek ve kadın soyunma</t>
        </is>
      </c>
      <c r="C453" s="69" t="inlineStr">
        <is>
          <t>ad</t>
        </is>
      </c>
      <c r="D453" s="55" t="n">
        <v>2</v>
      </c>
      <c r="E453" s="55" t="n"/>
      <c r="F453" s="55" t="n"/>
      <c r="G453" s="55" t="n"/>
      <c r="H453" s="70" t="n">
        <v>2</v>
      </c>
      <c r="I453" s="71" t="n"/>
    </row>
    <row r="454">
      <c r="A454" s="75" t="inlineStr">
        <is>
          <t>KISMİ YEKÜN</t>
        </is>
      </c>
      <c r="H454" s="76">
        <f>SUM(H453:H453)</f>
        <v/>
      </c>
      <c r="I454" s="77">
        <f>SUM(I453:I453)</f>
        <v/>
      </c>
    </row>
    <row r="455" ht="20" customHeight="1">
      <c r="A455" s="78" t="inlineStr">
        <is>
          <t>SAYFA YEKÜNÜ  ·  POZ H.1.2 METRAJI</t>
        </is>
      </c>
      <c r="H455" s="79">
        <f>H454-I454</f>
        <v/>
      </c>
    </row>
    <row r="457" ht="24" customHeight="1">
      <c r="A457" s="64" t="inlineStr">
        <is>
          <t>POZ NO: H.1.3      Soyunma bankı 160×35 cm — ahşap latalı, duvara konsol bağlantılı</t>
        </is>
      </c>
    </row>
    <row r="458">
      <c r="A458" s="65" t="inlineStr">
        <is>
          <t>MAHAL:</t>
        </is>
      </c>
      <c r="B458" s="66" t="inlineStr">
        <is>
          <t>105 · 108</t>
        </is>
      </c>
      <c r="F458" s="65" t="inlineStr">
        <is>
          <t>BİRİM:</t>
        </is>
      </c>
      <c r="G458" s="67" t="inlineStr">
        <is>
          <t>ad</t>
        </is>
      </c>
      <c r="H458" s="65" t="inlineStr">
        <is>
          <t>PROJE REF:</t>
        </is>
      </c>
      <c r="I458" s="68" t="inlineStr">
        <is>
          <t>A-01…A-13</t>
        </is>
      </c>
    </row>
    <row r="459" ht="26" customHeight="1">
      <c r="A459" s="12" t="inlineStr">
        <is>
          <t>S.NO</t>
        </is>
      </c>
      <c r="B459" s="12" t="inlineStr">
        <is>
          <t>YAPILACAK İMALAT AÇIKLAMASI</t>
        </is>
      </c>
      <c r="C459" s="12" t="inlineStr">
        <is>
          <t>BİRİM</t>
        </is>
      </c>
      <c r="D459" s="12" t="inlineStr">
        <is>
          <t>ADET</t>
        </is>
      </c>
      <c r="E459" s="12" t="inlineStr">
        <is>
          <t>EN (m)</t>
        </is>
      </c>
      <c r="F459" s="12" t="inlineStr">
        <is>
          <t>BOY (m)</t>
        </is>
      </c>
      <c r="G459" s="12" t="inlineStr">
        <is>
          <t>YÜKSEKLİK (m)</t>
        </is>
      </c>
      <c r="H459" s="12" t="inlineStr">
        <is>
          <t>TOPLANAN (+)</t>
        </is>
      </c>
      <c r="I459" s="12" t="inlineStr">
        <is>
          <t>ÇIKARILAN (−)</t>
        </is>
      </c>
    </row>
    <row r="460">
      <c r="A460" s="69" t="n">
        <v>1</v>
      </c>
      <c r="B460" s="7" t="inlineStr">
        <is>
          <t>Erkek ve kadın soyunma</t>
        </is>
      </c>
      <c r="C460" s="69" t="inlineStr">
        <is>
          <t>ad</t>
        </is>
      </c>
      <c r="D460" s="55" t="n">
        <v>2</v>
      </c>
      <c r="E460" s="55" t="n"/>
      <c r="F460" s="55" t="n"/>
      <c r="G460" s="55" t="n"/>
      <c r="H460" s="70" t="n">
        <v>2</v>
      </c>
      <c r="I460" s="71" t="n"/>
    </row>
    <row r="461">
      <c r="A461" s="75" t="inlineStr">
        <is>
          <t>KISMİ YEKÜN</t>
        </is>
      </c>
      <c r="H461" s="76">
        <f>SUM(H460:H460)</f>
        <v/>
      </c>
      <c r="I461" s="77">
        <f>SUM(I460:I460)</f>
        <v/>
      </c>
    </row>
    <row r="462" ht="20" customHeight="1">
      <c r="A462" s="78" t="inlineStr">
        <is>
          <t>SAYFA YEKÜNÜ  ·  POZ H.1.3 METRAJI</t>
        </is>
      </c>
      <c r="H462" s="79">
        <f>H461-I461</f>
        <v/>
      </c>
    </row>
    <row r="464" ht="24" customHeight="1">
      <c r="A464" s="64" t="inlineStr">
        <is>
          <t>POZ NO: H.1.4      Paslanmaz askılık, 5 kancalı</t>
        </is>
      </c>
    </row>
    <row r="465">
      <c r="A465" s="65" t="inlineStr">
        <is>
          <t>MAHAL:</t>
        </is>
      </c>
      <c r="B465" s="66" t="inlineStr">
        <is>
          <t>105 · 108</t>
        </is>
      </c>
      <c r="F465" s="65" t="inlineStr">
        <is>
          <t>BİRİM:</t>
        </is>
      </c>
      <c r="G465" s="67" t="inlineStr">
        <is>
          <t>ad</t>
        </is>
      </c>
      <c r="H465" s="65" t="inlineStr">
        <is>
          <t>PROJE REF:</t>
        </is>
      </c>
      <c r="I465" s="68" t="inlineStr">
        <is>
          <t>A-01…A-13</t>
        </is>
      </c>
    </row>
    <row r="466" ht="26" customHeight="1">
      <c r="A466" s="12" t="inlineStr">
        <is>
          <t>S.NO</t>
        </is>
      </c>
      <c r="B466" s="12" t="inlineStr">
        <is>
          <t>YAPILACAK İMALAT AÇIKLAMASI</t>
        </is>
      </c>
      <c r="C466" s="12" t="inlineStr">
        <is>
          <t>BİRİM</t>
        </is>
      </c>
      <c r="D466" s="12" t="inlineStr">
        <is>
          <t>ADET</t>
        </is>
      </c>
      <c r="E466" s="12" t="inlineStr">
        <is>
          <t>EN (m)</t>
        </is>
      </c>
      <c r="F466" s="12" t="inlineStr">
        <is>
          <t>BOY (m)</t>
        </is>
      </c>
      <c r="G466" s="12" t="inlineStr">
        <is>
          <t>YÜKSEKLİK (m)</t>
        </is>
      </c>
      <c r="H466" s="12" t="inlineStr">
        <is>
          <t>TOPLANAN (+)</t>
        </is>
      </c>
      <c r="I466" s="12" t="inlineStr">
        <is>
          <t>ÇIKARILAN (−)</t>
        </is>
      </c>
    </row>
    <row r="467">
      <c r="A467" s="69" t="n">
        <v>1</v>
      </c>
      <c r="B467" s="7" t="inlineStr">
        <is>
          <t>Erkek ve kadın soyunma</t>
        </is>
      </c>
      <c r="C467" s="69" t="inlineStr">
        <is>
          <t>ad</t>
        </is>
      </c>
      <c r="D467" s="55" t="n">
        <v>2</v>
      </c>
      <c r="E467" s="55" t="n"/>
      <c r="F467" s="55" t="n"/>
      <c r="G467" s="55" t="n"/>
      <c r="H467" s="70" t="n">
        <v>2</v>
      </c>
      <c r="I467" s="71" t="n"/>
    </row>
    <row r="468">
      <c r="A468" s="75" t="inlineStr">
        <is>
          <t>KISMİ YEKÜN</t>
        </is>
      </c>
      <c r="H468" s="76">
        <f>SUM(H467:H467)</f>
        <v/>
      </c>
      <c r="I468" s="77">
        <f>SUM(I467:I467)</f>
        <v/>
      </c>
    </row>
    <row r="469" ht="20" customHeight="1">
      <c r="A469" s="78" t="inlineStr">
        <is>
          <t>SAYFA YEKÜNÜ  ·  POZ H.1.4 METRAJI</t>
        </is>
      </c>
      <c r="H469" s="79">
        <f>H468-I468</f>
        <v/>
      </c>
    </row>
    <row r="471" ht="24" customHeight="1">
      <c r="A471" s="64" t="inlineStr">
        <is>
          <t>POZ NO: H.1.5      Depo / teknik dolap — banko arkası niş, havalandırma menfezli</t>
        </is>
      </c>
    </row>
    <row r="472">
      <c r="A472" s="65" t="inlineStr">
        <is>
          <t>MAHAL:</t>
        </is>
      </c>
      <c r="B472" s="66" t="inlineStr">
        <is>
          <t>101</t>
        </is>
      </c>
      <c r="F472" s="65" t="inlineStr">
        <is>
          <t>BİRİM:</t>
        </is>
      </c>
      <c r="G472" s="67" t="inlineStr">
        <is>
          <t>ad</t>
        </is>
      </c>
      <c r="H472" s="65" t="inlineStr">
        <is>
          <t>PROJE REF:</t>
        </is>
      </c>
      <c r="I472" s="68" t="inlineStr">
        <is>
          <t>A-01…A-13</t>
        </is>
      </c>
    </row>
    <row r="473" ht="26" customHeight="1">
      <c r="A473" s="12" t="inlineStr">
        <is>
          <t>S.NO</t>
        </is>
      </c>
      <c r="B473" s="12" t="inlineStr">
        <is>
          <t>YAPILACAK İMALAT AÇIKLAMASI</t>
        </is>
      </c>
      <c r="C473" s="12" t="inlineStr">
        <is>
          <t>BİRİM</t>
        </is>
      </c>
      <c r="D473" s="12" t="inlineStr">
        <is>
          <t>ADET</t>
        </is>
      </c>
      <c r="E473" s="12" t="inlineStr">
        <is>
          <t>EN (m)</t>
        </is>
      </c>
      <c r="F473" s="12" t="inlineStr">
        <is>
          <t>BOY (m)</t>
        </is>
      </c>
      <c r="G473" s="12" t="inlineStr">
        <is>
          <t>YÜKSEKLİK (m)</t>
        </is>
      </c>
      <c r="H473" s="12" t="inlineStr">
        <is>
          <t>TOPLANAN (+)</t>
        </is>
      </c>
      <c r="I473" s="12" t="inlineStr">
        <is>
          <t>ÇIKARILAN (−)</t>
        </is>
      </c>
    </row>
    <row r="474">
      <c r="A474" s="69" t="n">
        <v>1</v>
      </c>
      <c r="B474" s="7" t="inlineStr">
        <is>
          <t>NVR ve router dolabı (K09)</t>
        </is>
      </c>
      <c r="C474" s="69" t="inlineStr">
        <is>
          <t>ad</t>
        </is>
      </c>
      <c r="D474" s="55" t="n">
        <v>1</v>
      </c>
      <c r="E474" s="55" t="n"/>
      <c r="F474" s="55" t="n"/>
      <c r="G474" s="55" t="n"/>
      <c r="H474" s="70" t="n">
        <v>1</v>
      </c>
      <c r="I474" s="71" t="n"/>
    </row>
    <row r="475">
      <c r="A475" s="75" t="inlineStr">
        <is>
          <t>KISMİ YEKÜN</t>
        </is>
      </c>
      <c r="H475" s="76">
        <f>SUM(H474:H474)</f>
        <v/>
      </c>
      <c r="I475" s="77">
        <f>SUM(I474:I474)</f>
        <v/>
      </c>
    </row>
    <row r="476" ht="20" customHeight="1">
      <c r="A476" s="78" t="inlineStr">
        <is>
          <t>SAYFA YEKÜNÜ  ·  POZ H.1.5 METRAJI</t>
        </is>
      </c>
      <c r="H476" s="79">
        <f>H475-I475</f>
        <v/>
      </c>
    </row>
    <row r="478" ht="24" customHeight="1">
      <c r="A478" s="64" t="inlineStr">
        <is>
          <t>POZ NO: I.1.1      6 kg ABC kuru kimyevi tozlu yangın söndürücü — askı aparatı ve levhası ile</t>
        </is>
      </c>
    </row>
    <row r="479">
      <c r="A479" s="65" t="inlineStr">
        <is>
          <t>MAHAL:</t>
        </is>
      </c>
      <c r="B479" s="66" t="inlineStr">
        <is>
          <t>101 · 102 · 104</t>
        </is>
      </c>
      <c r="F479" s="65" t="inlineStr">
        <is>
          <t>BİRİM:</t>
        </is>
      </c>
      <c r="G479" s="67" t="inlineStr">
        <is>
          <t>ad</t>
        </is>
      </c>
      <c r="H479" s="65" t="inlineStr">
        <is>
          <t>PROJE REF:</t>
        </is>
      </c>
      <c r="I479" s="68" t="inlineStr">
        <is>
          <t>A-01…A-13</t>
        </is>
      </c>
    </row>
    <row r="480" ht="26" customHeight="1">
      <c r="A480" s="12" t="inlineStr">
        <is>
          <t>S.NO</t>
        </is>
      </c>
      <c r="B480" s="12" t="inlineStr">
        <is>
          <t>YAPILACAK İMALAT AÇIKLAMASI</t>
        </is>
      </c>
      <c r="C480" s="12" t="inlineStr">
        <is>
          <t>BİRİM</t>
        </is>
      </c>
      <c r="D480" s="12" t="inlineStr">
        <is>
          <t>ADET</t>
        </is>
      </c>
      <c r="E480" s="12" t="inlineStr">
        <is>
          <t>EN (m)</t>
        </is>
      </c>
      <c r="F480" s="12" t="inlineStr">
        <is>
          <t>BOY (m)</t>
        </is>
      </c>
      <c r="G480" s="12" t="inlineStr">
        <is>
          <t>YÜKSEKLİK (m)</t>
        </is>
      </c>
      <c r="H480" s="12" t="inlineStr">
        <is>
          <t>TOPLANAN (+)</t>
        </is>
      </c>
      <c r="I480" s="12" t="inlineStr">
        <is>
          <t>ÇIKARILAN (−)</t>
        </is>
      </c>
    </row>
    <row r="481">
      <c r="A481" s="69" t="n">
        <v>1</v>
      </c>
      <c r="B481" s="7" t="inlineStr">
        <is>
          <t>Çıkış yanı, dinlenme/soyunma yakını, acil çıkış yanı</t>
        </is>
      </c>
      <c r="C481" s="69" t="inlineStr">
        <is>
          <t>ad</t>
        </is>
      </c>
      <c r="D481" s="55" t="n">
        <v>3</v>
      </c>
      <c r="E481" s="55" t="n"/>
      <c r="F481" s="55" t="n"/>
      <c r="G481" s="55" t="n"/>
      <c r="H481" s="70" t="n">
        <v>3</v>
      </c>
      <c r="I481" s="71" t="n"/>
    </row>
    <row r="482">
      <c r="A482" s="75" t="inlineStr">
        <is>
          <t>KISMİ YEKÜN</t>
        </is>
      </c>
      <c r="H482" s="76">
        <f>SUM(H481:H481)</f>
        <v/>
      </c>
      <c r="I482" s="77">
        <f>SUM(I481:I481)</f>
        <v/>
      </c>
    </row>
    <row r="483" ht="20" customHeight="1">
      <c r="A483" s="78" t="inlineStr">
        <is>
          <t>SAYFA YEKÜNÜ  ·  POZ I.1.1 METRAJI</t>
        </is>
      </c>
      <c r="H483" s="79">
        <f>H482-I482</f>
        <v/>
      </c>
    </row>
    <row r="485" ht="24" customHeight="1">
      <c r="A485" s="64" t="inlineStr">
        <is>
          <t>POZ NO: I.1.2      Yangın dolabı — 30 m hortum, TS EN 671-2 (GSİM talebine bağlı opsiyon)</t>
        </is>
      </c>
    </row>
    <row r="486">
      <c r="A486" s="65" t="inlineStr">
        <is>
          <t>MAHAL:</t>
        </is>
      </c>
      <c r="B486" s="66" t="inlineStr">
        <is>
          <t>101</t>
        </is>
      </c>
      <c r="F486" s="65" t="inlineStr">
        <is>
          <t>BİRİM:</t>
        </is>
      </c>
      <c r="G486" s="67" t="inlineStr">
        <is>
          <t>ad</t>
        </is>
      </c>
      <c r="H486" s="65" t="inlineStr">
        <is>
          <t>PROJE REF:</t>
        </is>
      </c>
      <c r="I486" s="68" t="inlineStr">
        <is>
          <t>A-01…A-13</t>
        </is>
      </c>
    </row>
    <row r="487" ht="26" customHeight="1">
      <c r="A487" s="12" t="inlineStr">
        <is>
          <t>S.NO</t>
        </is>
      </c>
      <c r="B487" s="12" t="inlineStr">
        <is>
          <t>YAPILACAK İMALAT AÇIKLAMASI</t>
        </is>
      </c>
      <c r="C487" s="12" t="inlineStr">
        <is>
          <t>BİRİM</t>
        </is>
      </c>
      <c r="D487" s="12" t="inlineStr">
        <is>
          <t>ADET</t>
        </is>
      </c>
      <c r="E487" s="12" t="inlineStr">
        <is>
          <t>EN (m)</t>
        </is>
      </c>
      <c r="F487" s="12" t="inlineStr">
        <is>
          <t>BOY (m)</t>
        </is>
      </c>
      <c r="G487" s="12" t="inlineStr">
        <is>
          <t>YÜKSEKLİK (m)</t>
        </is>
      </c>
      <c r="H487" s="12" t="inlineStr">
        <is>
          <t>TOPLANAN (+)</t>
        </is>
      </c>
      <c r="I487" s="12" t="inlineStr">
        <is>
          <t>ÇIKARILAN (−)</t>
        </is>
      </c>
    </row>
    <row r="488">
      <c r="A488" s="69" t="n">
        <v>1</v>
      </c>
      <c r="B488" s="7" t="inlineStr">
        <is>
          <t>Ana çıkış yanı</t>
        </is>
      </c>
      <c r="C488" s="69" t="inlineStr">
        <is>
          <t>ad</t>
        </is>
      </c>
      <c r="D488" s="55" t="n">
        <v>1</v>
      </c>
      <c r="E488" s="55" t="n"/>
      <c r="F488" s="55" t="n"/>
      <c r="G488" s="55" t="n"/>
      <c r="H488" s="70" t="n">
        <v>1</v>
      </c>
      <c r="I488" s="71" t="n"/>
    </row>
    <row r="489">
      <c r="A489" s="75" t="inlineStr">
        <is>
          <t>KISMİ YEKÜN</t>
        </is>
      </c>
      <c r="H489" s="76">
        <f>SUM(H488:H488)</f>
        <v/>
      </c>
      <c r="I489" s="77">
        <f>SUM(I488:I488)</f>
        <v/>
      </c>
    </row>
    <row r="490" ht="20" customHeight="1">
      <c r="A490" s="78" t="inlineStr">
        <is>
          <t>SAYFA YEKÜNÜ  ·  POZ I.1.2 METRAJI</t>
        </is>
      </c>
      <c r="H490" s="79">
        <f>H489-I489</f>
        <v/>
      </c>
    </row>
    <row r="492" ht="24" customHeight="1">
      <c r="A492" s="64" t="inlineStr">
        <is>
          <t>POZ NO: I.1.3      Fotolüminesan yönlendirme ve yasak levhaları</t>
        </is>
      </c>
    </row>
    <row r="493">
      <c r="A493" s="65" t="inlineStr">
        <is>
          <t>MAHAL:</t>
        </is>
      </c>
      <c r="B493" s="66" t="inlineStr">
        <is>
          <t>Tüm mahaller</t>
        </is>
      </c>
      <c r="F493" s="65" t="inlineStr">
        <is>
          <t>BİRİM:</t>
        </is>
      </c>
      <c r="G493" s="67" t="inlineStr">
        <is>
          <t>ad</t>
        </is>
      </c>
      <c r="H493" s="65" t="inlineStr">
        <is>
          <t>PROJE REF:</t>
        </is>
      </c>
      <c r="I493" s="68" t="inlineStr">
        <is>
          <t>A-01…A-13</t>
        </is>
      </c>
    </row>
    <row r="494" ht="26" customHeight="1">
      <c r="A494" s="12" t="inlineStr">
        <is>
          <t>S.NO</t>
        </is>
      </c>
      <c r="B494" s="12" t="inlineStr">
        <is>
          <t>YAPILACAK İMALAT AÇIKLAMASI</t>
        </is>
      </c>
      <c r="C494" s="12" t="inlineStr">
        <is>
          <t>BİRİM</t>
        </is>
      </c>
      <c r="D494" s="12" t="inlineStr">
        <is>
          <t>ADET</t>
        </is>
      </c>
      <c r="E494" s="12" t="inlineStr">
        <is>
          <t>EN (m)</t>
        </is>
      </c>
      <c r="F494" s="12" t="inlineStr">
        <is>
          <t>BOY (m)</t>
        </is>
      </c>
      <c r="G494" s="12" t="inlineStr">
        <is>
          <t>YÜKSEKLİK (m)</t>
        </is>
      </c>
      <c r="H494" s="12" t="inlineStr">
        <is>
          <t>TOPLANAN (+)</t>
        </is>
      </c>
      <c r="I494" s="12" t="inlineStr">
        <is>
          <t>ÇIKARILAN (−)</t>
        </is>
      </c>
    </row>
    <row r="495">
      <c r="A495" s="69" t="n">
        <v>1</v>
      </c>
      <c r="B495" s="7" t="inlineStr">
        <is>
          <t>Çıkış yönlendirme</t>
        </is>
      </c>
      <c r="C495" s="69" t="inlineStr">
        <is>
          <t>ad</t>
        </is>
      </c>
      <c r="D495" s="55" t="n">
        <v>3</v>
      </c>
      <c r="E495" s="55" t="n"/>
      <c r="F495" s="55" t="n"/>
      <c r="G495" s="55" t="n"/>
      <c r="H495" s="70" t="n">
        <v>3</v>
      </c>
      <c r="I495" s="71" t="n"/>
    </row>
    <row r="496">
      <c r="A496" s="72" t="n">
        <v>2</v>
      </c>
      <c r="B496" s="48" t="inlineStr">
        <is>
          <t>Piktogram (erkek/kadın)</t>
        </is>
      </c>
      <c r="C496" s="72" t="inlineStr">
        <is>
          <t>ad</t>
        </is>
      </c>
      <c r="D496" s="59" t="n">
        <v>2</v>
      </c>
      <c r="E496" s="59" t="n"/>
      <c r="F496" s="59" t="n"/>
      <c r="G496" s="59" t="n"/>
      <c r="H496" s="73" t="n">
        <v>2</v>
      </c>
      <c r="I496" s="74" t="n"/>
    </row>
    <row r="497">
      <c r="A497" s="69" t="n">
        <v>3</v>
      </c>
      <c r="B497" s="7" t="inlineStr">
        <is>
          <t>«Ağırlık düşürmek yasaktır» uyarı levhası</t>
        </is>
      </c>
      <c r="C497" s="69" t="inlineStr">
        <is>
          <t>ad</t>
        </is>
      </c>
      <c r="D497" s="55" t="n">
        <v>1</v>
      </c>
      <c r="E497" s="55" t="n"/>
      <c r="F497" s="55" t="n"/>
      <c r="G497" s="55" t="n"/>
      <c r="H497" s="70" t="n">
        <v>1</v>
      </c>
      <c r="I497" s="71" t="n"/>
    </row>
    <row r="498">
      <c r="A498" s="72" t="n">
        <v>4</v>
      </c>
      <c r="B498" s="48" t="inlineStr">
        <is>
          <t>Kapasite ve çalışma saatleri levhası</t>
        </is>
      </c>
      <c r="C498" s="72" t="inlineStr">
        <is>
          <t>ad</t>
        </is>
      </c>
      <c r="D498" s="59" t="n">
        <v>1</v>
      </c>
      <c r="E498" s="59" t="n"/>
      <c r="F498" s="59" t="n"/>
      <c r="G498" s="59" t="n"/>
      <c r="H498" s="73" t="n">
        <v>1</v>
      </c>
      <c r="I498" s="74" t="n"/>
    </row>
    <row r="499">
      <c r="A499" s="75" t="inlineStr">
        <is>
          <t>KISMİ YEKÜN</t>
        </is>
      </c>
      <c r="H499" s="76">
        <f>SUM(H495:H498)</f>
        <v/>
      </c>
      <c r="I499" s="77">
        <f>SUM(I495:I498)</f>
        <v/>
      </c>
    </row>
    <row r="500" ht="20" customHeight="1">
      <c r="A500" s="78" t="inlineStr">
        <is>
          <t>SAYFA YEKÜNÜ  ·  POZ I.1.3 METRAJI</t>
        </is>
      </c>
      <c r="H500" s="79">
        <f>H499-I499</f>
        <v/>
      </c>
    </row>
    <row r="502" ht="24" customHeight="1">
      <c r="A502" s="64" t="inlineStr">
        <is>
          <t>POZ NO: J.1.1      İnce ve kaba temizlik, teslim öncesi detay temizliği</t>
        </is>
      </c>
    </row>
    <row r="503">
      <c r="A503" s="65" t="inlineStr">
        <is>
          <t>MAHAL:</t>
        </is>
      </c>
      <c r="B503" s="66" t="inlineStr">
        <is>
          <t>Tüm mahaller</t>
        </is>
      </c>
      <c r="F503" s="65" t="inlineStr">
        <is>
          <t>BİRİM:</t>
        </is>
      </c>
      <c r="G503" s="67" t="inlineStr">
        <is>
          <t>m²</t>
        </is>
      </c>
      <c r="H503" s="65" t="inlineStr">
        <is>
          <t>PROJE REF:</t>
        </is>
      </c>
      <c r="I503" s="68" t="inlineStr">
        <is>
          <t>A-01…A-13</t>
        </is>
      </c>
    </row>
    <row r="504" ht="26" customHeight="1">
      <c r="A504" s="12" t="inlineStr">
        <is>
          <t>S.NO</t>
        </is>
      </c>
      <c r="B504" s="12" t="inlineStr">
        <is>
          <t>YAPILACAK İMALAT AÇIKLAMASI</t>
        </is>
      </c>
      <c r="C504" s="12" t="inlineStr">
        <is>
          <t>BİRİM</t>
        </is>
      </c>
      <c r="D504" s="12" t="inlineStr">
        <is>
          <t>ADET</t>
        </is>
      </c>
      <c r="E504" s="12" t="inlineStr">
        <is>
          <t>EN (m)</t>
        </is>
      </c>
      <c r="F504" s="12" t="inlineStr">
        <is>
          <t>BOY (m)</t>
        </is>
      </c>
      <c r="G504" s="12" t="inlineStr">
        <is>
          <t>YÜKSEKLİK (m)</t>
        </is>
      </c>
      <c r="H504" s="12" t="inlineStr">
        <is>
          <t>TOPLANAN (+)</t>
        </is>
      </c>
      <c r="I504" s="12" t="inlineStr">
        <is>
          <t>ÇIKARILAN (−)</t>
        </is>
      </c>
    </row>
    <row r="505">
      <c r="A505" s="69" t="n">
        <v>1</v>
      </c>
      <c r="B505" s="7" t="inlineStr">
        <is>
          <t>Net iç kullanım alanı</t>
        </is>
      </c>
      <c r="C505" s="69" t="inlineStr">
        <is>
          <t>m²</t>
        </is>
      </c>
      <c r="D505" s="55" t="n">
        <v>1</v>
      </c>
      <c r="E505" s="55" t="n">
        <v>103.78</v>
      </c>
      <c r="F505" s="55" t="n"/>
      <c r="G505" s="55" t="n"/>
      <c r="H505" s="70" t="n">
        <v>103.78</v>
      </c>
      <c r="I505" s="71" t="n"/>
    </row>
    <row r="506">
      <c r="A506" s="75" t="inlineStr">
        <is>
          <t>KISMİ YEKÜN</t>
        </is>
      </c>
      <c r="H506" s="76">
        <f>SUM(H505:H505)</f>
        <v/>
      </c>
      <c r="I506" s="77">
        <f>SUM(I505:I505)</f>
        <v/>
      </c>
    </row>
    <row r="507" ht="20" customHeight="1">
      <c r="A507" s="78" t="inlineStr">
        <is>
          <t>SAYFA YEKÜNÜ  ·  POZ J.1.1 METRAJI</t>
        </is>
      </c>
      <c r="H507" s="79">
        <f>H506-I506</f>
        <v/>
      </c>
    </row>
    <row r="509" ht="24" customHeight="1">
      <c r="A509" s="64" t="inlineStr">
        <is>
          <t>POZ NO: J.1.2      Şantiye kurulumu, koruma örtüleri, hoarding ve güvenlik</t>
        </is>
      </c>
    </row>
    <row r="510">
      <c r="A510" s="65" t="inlineStr">
        <is>
          <t>MAHAL:</t>
        </is>
      </c>
      <c r="B510" s="66" t="inlineStr">
        <is>
          <t>Tüm mahaller</t>
        </is>
      </c>
      <c r="F510" s="65" t="inlineStr">
        <is>
          <t>BİRİM:</t>
        </is>
      </c>
      <c r="G510" s="67" t="inlineStr">
        <is>
          <t>tk</t>
        </is>
      </c>
      <c r="H510" s="65" t="inlineStr">
        <is>
          <t>PROJE REF:</t>
        </is>
      </c>
      <c r="I510" s="68" t="inlineStr">
        <is>
          <t>A-01…A-13</t>
        </is>
      </c>
    </row>
    <row r="511" ht="26" customHeight="1">
      <c r="A511" s="12" t="inlineStr">
        <is>
          <t>S.NO</t>
        </is>
      </c>
      <c r="B511" s="12" t="inlineStr">
        <is>
          <t>YAPILACAK İMALAT AÇIKLAMASI</t>
        </is>
      </c>
      <c r="C511" s="12" t="inlineStr">
        <is>
          <t>BİRİM</t>
        </is>
      </c>
      <c r="D511" s="12" t="inlineStr">
        <is>
          <t>ADET</t>
        </is>
      </c>
      <c r="E511" s="12" t="inlineStr">
        <is>
          <t>EN (m)</t>
        </is>
      </c>
      <c r="F511" s="12" t="inlineStr">
        <is>
          <t>BOY (m)</t>
        </is>
      </c>
      <c r="G511" s="12" t="inlineStr">
        <is>
          <t>YÜKSEKLİK (m)</t>
        </is>
      </c>
      <c r="H511" s="12" t="inlineStr">
        <is>
          <t>TOPLANAN (+)</t>
        </is>
      </c>
      <c r="I511" s="12" t="inlineStr">
        <is>
          <t>ÇIKARILAN (−)</t>
        </is>
      </c>
    </row>
    <row r="512">
      <c r="A512" s="69" t="n">
        <v>1</v>
      </c>
      <c r="B512" s="7" t="inlineStr">
        <is>
          <t>Götürü</t>
        </is>
      </c>
      <c r="C512" s="69" t="inlineStr">
        <is>
          <t>tk</t>
        </is>
      </c>
      <c r="D512" s="55" t="n">
        <v>1</v>
      </c>
      <c r="E512" s="55" t="n"/>
      <c r="F512" s="55" t="n"/>
      <c r="G512" s="55" t="n"/>
      <c r="H512" s="70" t="n">
        <v>1</v>
      </c>
      <c r="I512" s="71" t="n"/>
    </row>
    <row r="513">
      <c r="A513" s="75" t="inlineStr">
        <is>
          <t>KISMİ YEKÜN</t>
        </is>
      </c>
      <c r="H513" s="76">
        <f>SUM(H512:H512)</f>
        <v/>
      </c>
      <c r="I513" s="77">
        <f>SUM(I512:I512)</f>
        <v/>
      </c>
    </row>
    <row r="514" ht="20" customHeight="1">
      <c r="A514" s="78" t="inlineStr">
        <is>
          <t>SAYFA YEKÜNÜ  ·  POZ J.1.2 METRAJI</t>
        </is>
      </c>
      <c r="H514" s="79">
        <f>H513-I513</f>
        <v/>
      </c>
    </row>
    <row r="516" ht="24" customHeight="1">
      <c r="A516" s="64" t="inlineStr">
        <is>
          <t>POZ NO: J.1.3      Nakliyeler (malzeme sevkiyatı, vinç/asansör kullanımı)</t>
        </is>
      </c>
    </row>
    <row r="517">
      <c r="A517" s="65" t="inlineStr">
        <is>
          <t>MAHAL:</t>
        </is>
      </c>
      <c r="B517" s="66" t="inlineStr">
        <is>
          <t>Tüm mahaller</t>
        </is>
      </c>
      <c r="F517" s="65" t="inlineStr">
        <is>
          <t>BİRİM:</t>
        </is>
      </c>
      <c r="G517" s="67" t="inlineStr">
        <is>
          <t>tk</t>
        </is>
      </c>
      <c r="H517" s="65" t="inlineStr">
        <is>
          <t>PROJE REF:</t>
        </is>
      </c>
      <c r="I517" s="68" t="inlineStr">
        <is>
          <t>A-01…A-13</t>
        </is>
      </c>
    </row>
    <row r="518" ht="26" customHeight="1">
      <c r="A518" s="12" t="inlineStr">
        <is>
          <t>S.NO</t>
        </is>
      </c>
      <c r="B518" s="12" t="inlineStr">
        <is>
          <t>YAPILACAK İMALAT AÇIKLAMASI</t>
        </is>
      </c>
      <c r="C518" s="12" t="inlineStr">
        <is>
          <t>BİRİM</t>
        </is>
      </c>
      <c r="D518" s="12" t="inlineStr">
        <is>
          <t>ADET</t>
        </is>
      </c>
      <c r="E518" s="12" t="inlineStr">
        <is>
          <t>EN (m)</t>
        </is>
      </c>
      <c r="F518" s="12" t="inlineStr">
        <is>
          <t>BOY (m)</t>
        </is>
      </c>
      <c r="G518" s="12" t="inlineStr">
        <is>
          <t>YÜKSEKLİK (m)</t>
        </is>
      </c>
      <c r="H518" s="12" t="inlineStr">
        <is>
          <t>TOPLANAN (+)</t>
        </is>
      </c>
      <c r="I518" s="12" t="inlineStr">
        <is>
          <t>ÇIKARILAN (−)</t>
        </is>
      </c>
    </row>
    <row r="519">
      <c r="A519" s="69" t="n">
        <v>1</v>
      </c>
      <c r="B519" s="7" t="inlineStr">
        <is>
          <t>Götürü</t>
        </is>
      </c>
      <c r="C519" s="69" t="inlineStr">
        <is>
          <t>tk</t>
        </is>
      </c>
      <c r="D519" s="55" t="n">
        <v>1</v>
      </c>
      <c r="E519" s="55" t="n"/>
      <c r="F519" s="55" t="n"/>
      <c r="G519" s="55" t="n"/>
      <c r="H519" s="70" t="n">
        <v>1</v>
      </c>
      <c r="I519" s="71" t="n"/>
    </row>
    <row r="520">
      <c r="A520" s="75" t="inlineStr">
        <is>
          <t>KISMİ YEKÜN</t>
        </is>
      </c>
      <c r="H520" s="76">
        <f>SUM(H519:H519)</f>
        <v/>
      </c>
      <c r="I520" s="77">
        <f>SUM(I519:I519)</f>
        <v/>
      </c>
    </row>
    <row r="521" ht="20" customHeight="1">
      <c r="A521" s="78" t="inlineStr">
        <is>
          <t>SAYFA YEKÜNÜ  ·  POZ J.1.3 METRAJI</t>
        </is>
      </c>
      <c r="H521" s="79">
        <f>H520-I520</f>
        <v/>
      </c>
    </row>
    <row r="523" ht="24" customHeight="1">
      <c r="A523" s="64" t="inlineStr">
        <is>
          <t>POZ NO: J.1.4      Usta ve düz işçi çalışmaları (poz dışı ilave işler)</t>
        </is>
      </c>
    </row>
    <row r="524">
      <c r="A524" s="65" t="inlineStr">
        <is>
          <t>MAHAL:</t>
        </is>
      </c>
      <c r="B524" s="66" t="inlineStr">
        <is>
          <t>Tüm mahaller</t>
        </is>
      </c>
      <c r="F524" s="65" t="inlineStr">
        <is>
          <t>BİRİM:</t>
        </is>
      </c>
      <c r="G524" s="67" t="inlineStr">
        <is>
          <t>yev</t>
        </is>
      </c>
      <c r="H524" s="65" t="inlineStr">
        <is>
          <t>PROJE REF:</t>
        </is>
      </c>
      <c r="I524" s="68" t="inlineStr">
        <is>
          <t>A-01…A-13</t>
        </is>
      </c>
    </row>
    <row r="525" ht="26" customHeight="1">
      <c r="A525" s="12" t="inlineStr">
        <is>
          <t>S.NO</t>
        </is>
      </c>
      <c r="B525" s="12" t="inlineStr">
        <is>
          <t>YAPILACAK İMALAT AÇIKLAMASI</t>
        </is>
      </c>
      <c r="C525" s="12" t="inlineStr">
        <is>
          <t>BİRİM</t>
        </is>
      </c>
      <c r="D525" s="12" t="inlineStr">
        <is>
          <t>ADET</t>
        </is>
      </c>
      <c r="E525" s="12" t="inlineStr">
        <is>
          <t>EN (m)</t>
        </is>
      </c>
      <c r="F525" s="12" t="inlineStr">
        <is>
          <t>BOY (m)</t>
        </is>
      </c>
      <c r="G525" s="12" t="inlineStr">
        <is>
          <t>YÜKSEKLİK (m)</t>
        </is>
      </c>
      <c r="H525" s="12" t="inlineStr">
        <is>
          <t>TOPLANAN (+)</t>
        </is>
      </c>
      <c r="I525" s="12" t="inlineStr">
        <is>
          <t>ÇIKARILAN (−)</t>
        </is>
      </c>
    </row>
    <row r="526">
      <c r="A526" s="69" t="n">
        <v>1</v>
      </c>
      <c r="B526" s="7" t="inlineStr">
        <is>
          <t>Tahmini yevmiye (referans projede usta+düz işçi payı ≈ %6)</t>
        </is>
      </c>
      <c r="C526" s="69" t="inlineStr">
        <is>
          <t>yev</t>
        </is>
      </c>
      <c r="D526" s="55" t="n">
        <v>35</v>
      </c>
      <c r="E526" s="55" t="n"/>
      <c r="F526" s="55" t="n"/>
      <c r="G526" s="55" t="n"/>
      <c r="H526" s="70" t="n">
        <v>35</v>
      </c>
      <c r="I526" s="71" t="n"/>
    </row>
    <row r="527">
      <c r="A527" s="75" t="inlineStr">
        <is>
          <t>KISMİ YEKÜN</t>
        </is>
      </c>
      <c r="H527" s="76">
        <f>SUM(H526:H526)</f>
        <v/>
      </c>
      <c r="I527" s="77">
        <f>SUM(I526:I526)</f>
        <v/>
      </c>
    </row>
    <row r="528" ht="20" customHeight="1">
      <c r="A528" s="78" t="inlineStr">
        <is>
          <t>SAYFA YEKÜNÜ  ·  POZ J.1.4 METRAJI</t>
        </is>
      </c>
      <c r="H528" s="79">
        <f>H527-I527</f>
        <v/>
      </c>
    </row>
  </sheetData>
  <mergeCells count="307">
    <mergeCell ref="H337:I337"/>
    <mergeCell ref="A489:G489"/>
    <mergeCell ref="B300:E300"/>
    <mergeCell ref="A35:G35"/>
    <mergeCell ref="B372:E372"/>
    <mergeCell ref="H230:I230"/>
    <mergeCell ref="H143:I143"/>
    <mergeCell ref="H441:I441"/>
    <mergeCell ref="A506:G506"/>
    <mergeCell ref="A362:G362"/>
    <mergeCell ref="A337:G337"/>
    <mergeCell ref="A59:G59"/>
    <mergeCell ref="A103:G103"/>
    <mergeCell ref="H507:I507"/>
    <mergeCell ref="B263:E263"/>
    <mergeCell ref="B524:E524"/>
    <mergeCell ref="A48:I48"/>
    <mergeCell ref="B290:E290"/>
    <mergeCell ref="A499:G499"/>
    <mergeCell ref="B348:E348"/>
    <mergeCell ref="H362:I362"/>
    <mergeCell ref="A52:G52"/>
    <mergeCell ref="H220:I220"/>
    <mergeCell ref="A145:I145"/>
    <mergeCell ref="A443:I443"/>
    <mergeCell ref="H157:I157"/>
    <mergeCell ref="A270:G270"/>
    <mergeCell ref="A441:G441"/>
    <mergeCell ref="A368:G368"/>
    <mergeCell ref="A36:G36"/>
    <mergeCell ref="A383:G383"/>
    <mergeCell ref="H19:I19"/>
    <mergeCell ref="H190:I190"/>
    <mergeCell ref="B253:E253"/>
    <mergeCell ref="H469:I469"/>
    <mergeCell ref="A80:G80"/>
    <mergeCell ref="A281:I281"/>
    <mergeCell ref="A427:I427"/>
    <mergeCell ref="B393:E393"/>
    <mergeCell ref="B160:E160"/>
    <mergeCell ref="A500:G500"/>
    <mergeCell ref="B153:E153"/>
    <mergeCell ref="H462:I462"/>
    <mergeCell ref="A260:G260"/>
    <mergeCell ref="A60:G60"/>
    <mergeCell ref="A431:G431"/>
    <mergeCell ref="A38:I38"/>
    <mergeCell ref="A124:G124"/>
    <mergeCell ref="H528:I528"/>
    <mergeCell ref="A509:I509"/>
    <mergeCell ref="A149:G149"/>
    <mergeCell ref="A447:G447"/>
    <mergeCell ref="B510:E510"/>
    <mergeCell ref="H319:I319"/>
    <mergeCell ref="H490:I490"/>
    <mergeCell ref="H175:I175"/>
    <mergeCell ref="A150:G150"/>
    <mergeCell ref="H125:I125"/>
    <mergeCell ref="A513:G513"/>
    <mergeCell ref="A81:G81"/>
    <mergeCell ref="A464:I464"/>
    <mergeCell ref="A159:I159"/>
    <mergeCell ref="H476:I476"/>
    <mergeCell ref="A97:I97"/>
    <mergeCell ref="A420:I420"/>
    <mergeCell ref="A462:G462"/>
    <mergeCell ref="A72:I72"/>
    <mergeCell ref="A70:G70"/>
    <mergeCell ref="A355:G355"/>
    <mergeCell ref="A305:G305"/>
    <mergeCell ref="B98:E98"/>
    <mergeCell ref="A397:G397"/>
    <mergeCell ref="B274:E274"/>
    <mergeCell ref="A286:G286"/>
    <mergeCell ref="A528:G528"/>
    <mergeCell ref="A361:G361"/>
    <mergeCell ref="A212:I212"/>
    <mergeCell ref="A311:G311"/>
    <mergeCell ref="B414:E414"/>
    <mergeCell ref="A475:G475"/>
    <mergeCell ref="H133:I133"/>
    <mergeCell ref="A279:G279"/>
    <mergeCell ref="A521:G521"/>
    <mergeCell ref="H418:I418"/>
    <mergeCell ref="B22:E22"/>
    <mergeCell ref="A45:G45"/>
    <mergeCell ref="B193:E193"/>
    <mergeCell ref="A287:G287"/>
    <mergeCell ref="H199:I199"/>
    <mergeCell ref="A345:G345"/>
    <mergeCell ref="A167:I167"/>
    <mergeCell ref="A232:I232"/>
    <mergeCell ref="A46:G46"/>
    <mergeCell ref="A376:G376"/>
    <mergeCell ref="A468:G468"/>
    <mergeCell ref="A177:I177"/>
    <mergeCell ref="A165:G165"/>
    <mergeCell ref="A336:G336"/>
    <mergeCell ref="B340:E340"/>
    <mergeCell ref="A102:G102"/>
    <mergeCell ref="A344:G344"/>
    <mergeCell ref="A229:G229"/>
    <mergeCell ref="B106:E106"/>
    <mergeCell ref="H36:I36"/>
    <mergeCell ref="H383:I383"/>
    <mergeCell ref="A299:I299"/>
    <mergeCell ref="A239:G239"/>
    <mergeCell ref="A95:G95"/>
    <mergeCell ref="A457:I457"/>
    <mergeCell ref="B186:E186"/>
    <mergeCell ref="A219:G219"/>
    <mergeCell ref="B486:E486"/>
    <mergeCell ref="H500:I500"/>
    <mergeCell ref="B458:E458"/>
    <mergeCell ref="A406:I406"/>
    <mergeCell ref="H60:I60"/>
    <mergeCell ref="A185:I185"/>
    <mergeCell ref="B56:E56"/>
    <mergeCell ref="A250:G250"/>
    <mergeCell ref="A110:G110"/>
    <mergeCell ref="B120:E120"/>
    <mergeCell ref="H355:I355"/>
    <mergeCell ref="A174:G174"/>
    <mergeCell ref="A201:I201"/>
    <mergeCell ref="A410:G410"/>
    <mergeCell ref="A18:G18"/>
    <mergeCell ref="A189:G189"/>
    <mergeCell ref="A399:I399"/>
    <mergeCell ref="B407:E407"/>
    <mergeCell ref="A119:I119"/>
    <mergeCell ref="H150:I150"/>
    <mergeCell ref="B233:E233"/>
    <mergeCell ref="H297:I297"/>
    <mergeCell ref="A304:G304"/>
    <mergeCell ref="B202:E202"/>
    <mergeCell ref="A396:G396"/>
    <mergeCell ref="H70:I70"/>
    <mergeCell ref="A527:G527"/>
    <mergeCell ref="B435:E435"/>
    <mergeCell ref="A112:I112"/>
    <mergeCell ref="H404:I404"/>
    <mergeCell ref="H305:I305"/>
    <mergeCell ref="A127:I127"/>
    <mergeCell ref="A347:I347"/>
    <mergeCell ref="A314:I314"/>
    <mergeCell ref="B322:E322"/>
    <mergeCell ref="A164:G164"/>
    <mergeCell ref="B128:E128"/>
    <mergeCell ref="B146:E146"/>
    <mergeCell ref="H455:I455"/>
    <mergeCell ref="A478:I478"/>
    <mergeCell ref="A252:I252"/>
    <mergeCell ref="A259:G259"/>
    <mergeCell ref="A424:G424"/>
    <mergeCell ref="A53:G53"/>
    <mergeCell ref="A109:G109"/>
    <mergeCell ref="B428:E428"/>
    <mergeCell ref="A240:G240"/>
    <mergeCell ref="A411:G411"/>
    <mergeCell ref="A482:G482"/>
    <mergeCell ref="A19:G19"/>
    <mergeCell ref="A190:G190"/>
    <mergeCell ref="A117:G117"/>
    <mergeCell ref="H279:I279"/>
    <mergeCell ref="H521:I521"/>
    <mergeCell ref="B479:E479"/>
    <mergeCell ref="A319:G319"/>
    <mergeCell ref="A490:G490"/>
    <mergeCell ref="A135:I135"/>
    <mergeCell ref="A142:G142"/>
    <mergeCell ref="A262:I262"/>
    <mergeCell ref="A62:I62"/>
    <mergeCell ref="H312:I312"/>
    <mergeCell ref="B136:E136"/>
    <mergeCell ref="H376:I376"/>
    <mergeCell ref="A339:I339"/>
    <mergeCell ref="A210:G210"/>
    <mergeCell ref="B243:E243"/>
    <mergeCell ref="A364:I364"/>
    <mergeCell ref="H165:I165"/>
    <mergeCell ref="A413:I413"/>
    <mergeCell ref="A192:I192"/>
    <mergeCell ref="B365:E365"/>
    <mergeCell ref="H483:I483"/>
    <mergeCell ref="A94:G94"/>
    <mergeCell ref="B223:E223"/>
    <mergeCell ref="H287:I287"/>
    <mergeCell ref="A417:G417"/>
    <mergeCell ref="B465:E465"/>
    <mergeCell ref="A69:G69"/>
    <mergeCell ref="A183:G183"/>
    <mergeCell ref="A354:G354"/>
    <mergeCell ref="A83:I83"/>
    <mergeCell ref="A133:G133"/>
    <mergeCell ref="A198:G198"/>
    <mergeCell ref="A369:G369"/>
    <mergeCell ref="H95:I95"/>
    <mergeCell ref="A418:G418"/>
    <mergeCell ref="A1:I1"/>
    <mergeCell ref="B84:E84"/>
    <mergeCell ref="A514:G514"/>
    <mergeCell ref="A209:G209"/>
    <mergeCell ref="A273:I273"/>
    <mergeCell ref="A378:I378"/>
    <mergeCell ref="A55:I55"/>
    <mergeCell ref="B444:E444"/>
    <mergeCell ref="A432:G432"/>
    <mergeCell ref="A382:G382"/>
    <mergeCell ref="B315:E315"/>
    <mergeCell ref="B386:E386"/>
    <mergeCell ref="H250:I250"/>
    <mergeCell ref="A4:I4"/>
    <mergeCell ref="H110:I110"/>
    <mergeCell ref="A502:I502"/>
    <mergeCell ref="A222:I222"/>
    <mergeCell ref="H397:I397"/>
    <mergeCell ref="H103:I103"/>
    <mergeCell ref="A385:I385"/>
    <mergeCell ref="B5:E5"/>
    <mergeCell ref="A199:G199"/>
    <mergeCell ref="H240:I240"/>
    <mergeCell ref="A434:I434"/>
    <mergeCell ref="A321:I321"/>
    <mergeCell ref="A152:I152"/>
    <mergeCell ref="A450:I450"/>
    <mergeCell ref="A289:I289"/>
    <mergeCell ref="A448:G448"/>
    <mergeCell ref="A375:G375"/>
    <mergeCell ref="B451:E451"/>
    <mergeCell ref="H260:I260"/>
    <mergeCell ref="A390:G390"/>
    <mergeCell ref="A278:G278"/>
    <mergeCell ref="H53:I53"/>
    <mergeCell ref="H411:I411"/>
    <mergeCell ref="A230:G230"/>
    <mergeCell ref="H271:I271"/>
    <mergeCell ref="A2:I2"/>
    <mergeCell ref="A143:G143"/>
    <mergeCell ref="B113:E113"/>
    <mergeCell ref="A403:G403"/>
    <mergeCell ref="A182:G182"/>
    <mergeCell ref="A296:G296"/>
    <mergeCell ref="A392:I392"/>
    <mergeCell ref="B400:E400"/>
    <mergeCell ref="A461:G461"/>
    <mergeCell ref="A271:G271"/>
    <mergeCell ref="H81:I81"/>
    <mergeCell ref="B39:E39"/>
    <mergeCell ref="A507:G507"/>
    <mergeCell ref="H183:I183"/>
    <mergeCell ref="A523:I523"/>
    <mergeCell ref="B178:E178"/>
    <mergeCell ref="A516:I516"/>
    <mergeCell ref="A116:G116"/>
    <mergeCell ref="B49:E49"/>
    <mergeCell ref="A389:G389"/>
    <mergeCell ref="A156:G156"/>
    <mergeCell ref="A454:G454"/>
    <mergeCell ref="A105:I105"/>
    <mergeCell ref="B63:E63"/>
    <mergeCell ref="A220:G220"/>
    <mergeCell ref="H432:I432"/>
    <mergeCell ref="H117:I117"/>
    <mergeCell ref="A242:I242"/>
    <mergeCell ref="A307:I307"/>
    <mergeCell ref="A157:G157"/>
    <mergeCell ref="A455:G455"/>
    <mergeCell ref="A520:G520"/>
    <mergeCell ref="A371:I371"/>
    <mergeCell ref="A471:I471"/>
    <mergeCell ref="H369:I369"/>
    <mergeCell ref="A469:G469"/>
    <mergeCell ref="A175:G175"/>
    <mergeCell ref="A297:G297"/>
    <mergeCell ref="H210:I210"/>
    <mergeCell ref="B168:E168"/>
    <mergeCell ref="B472:E472"/>
    <mergeCell ref="H514:I514"/>
    <mergeCell ref="A312:G312"/>
    <mergeCell ref="A483:G483"/>
    <mergeCell ref="A404:G404"/>
    <mergeCell ref="H345:I345"/>
    <mergeCell ref="A21:I21"/>
    <mergeCell ref="A132:G132"/>
    <mergeCell ref="B503:E503"/>
    <mergeCell ref="B421:E421"/>
    <mergeCell ref="H425:I425"/>
    <mergeCell ref="B358:E358"/>
    <mergeCell ref="A492:I492"/>
    <mergeCell ref="A485:I485"/>
    <mergeCell ref="A125:G125"/>
    <mergeCell ref="A318:G318"/>
    <mergeCell ref="B493:E493"/>
    <mergeCell ref="B213:E213"/>
    <mergeCell ref="A249:G249"/>
    <mergeCell ref="H46:I46"/>
    <mergeCell ref="B282:E282"/>
    <mergeCell ref="A476:G476"/>
    <mergeCell ref="A357:I357"/>
    <mergeCell ref="B517:E517"/>
    <mergeCell ref="H448:I448"/>
    <mergeCell ref="H390:I390"/>
    <mergeCell ref="B73:E73"/>
    <mergeCell ref="A425:G425"/>
    <mergeCell ref="B308:E308"/>
    <mergeCell ref="B379:E379"/>
    <mergeCell ref="A440:G440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2026-09-18T09:19:32Z</dcterms:created>
  <dcterms:modified xsi:type="dcterms:W3CDTF">2026-09-18T09:19:33Z</dcterms:modified>
</cp:coreProperties>
</file>