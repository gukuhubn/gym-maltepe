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ADP" sheetId="1" state="visible" r:id="rId1"/>
    <sheet name="2 · GERİLİM DÜŞÜM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6B7078"/>
      <sz val="9"/>
    </font>
    <font>
      <name val="Calibri"/>
      <b val="1"/>
      <color rgb="FFFFFFFF"/>
      <sz val="8"/>
    </font>
    <font>
      <name val="Calibri"/>
      <b val="1"/>
      <color rgb="FF16273D"/>
      <sz val="9"/>
    </font>
    <font>
      <name val="Calibri"/>
      <color rgb="FFB87333"/>
      <sz val="8"/>
    </font>
    <font>
      <name val="Calibri"/>
      <color rgb="FF1C1C1C"/>
      <sz val="9"/>
    </font>
    <font>
      <name val="Calibri"/>
      <color rgb="FF8A8F98"/>
      <sz val="9"/>
    </font>
    <font>
      <name val="Calibri"/>
      <color rgb="FF8A8F98"/>
      <sz val="8"/>
    </font>
    <font>
      <name val="Calibri"/>
      <b val="1"/>
      <color rgb="FF8A8F98"/>
      <sz val="9"/>
    </font>
    <font>
      <name val="Calibri"/>
      <b val="1"/>
      <color rgb="FF16273D"/>
      <sz val="10"/>
    </font>
    <font>
      <name val="Calibri"/>
      <b val="1"/>
      <color rgb="FFFFFFFF"/>
      <sz val="11"/>
    </font>
    <font>
      <name val="Calibri"/>
      <b val="1"/>
      <color rgb="FF1C1C1C"/>
      <sz val="10"/>
    </font>
    <font>
      <name val="Calibri"/>
      <b val="1"/>
      <color rgb="FFFFFFFF"/>
      <sz val="9"/>
    </font>
    <font>
      <name val="Calibri"/>
      <b val="1"/>
      <color rgb="FF1E5C42"/>
      <sz val="9"/>
    </font>
    <font>
      <name val="Calibri"/>
      <color rgb="FF1E5C42"/>
      <sz val="10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FFF"/>
      </patternFill>
    </fill>
    <fill>
      <patternFill patternType="solid">
        <fgColor rgb="FFE7EAEE"/>
      </patternFill>
    </fill>
    <fill>
      <patternFill patternType="solid">
        <fgColor rgb="FFFFF6E8"/>
      </patternFill>
    </fill>
    <fill>
      <patternFill patternType="solid">
        <fgColor rgb="FFE7F3EC"/>
      </patternFill>
    </fill>
  </fills>
  <borders count="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4" fontId="12" fillId="7" borderId="1" applyAlignment="1" pivotButton="0" quotePrefix="0" xfId="0">
      <alignment horizontal="center" vertical="center"/>
    </xf>
    <xf numFmtId="4" fontId="12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2" customWidth="1" min="4" max="4"/>
    <col width="9" customWidth="1" min="5" max="5"/>
    <col width="8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56" customWidth="1" min="14" max="14"/>
  </cols>
  <sheetData>
    <row r="1" ht="26" customHeight="1">
      <c r="A1" s="1" t="inlineStr">
        <is>
          <t>GYM MALTEPE — ADP ELEKTRİK PANO YÜKLEME CETVELİ R00</t>
        </is>
      </c>
    </row>
    <row r="2">
      <c r="A2" s="2" t="inlineStr">
        <is>
          <t>MALTEPE / İDEALTEPE — MOBİLYA MAĞAZASI → FONKSİYONEL ANTRENMAN STÜDYOSU  ·  Rev H  ·  17 Eylül 2026</t>
        </is>
      </c>
    </row>
    <row r="4" ht="18" customHeight="1">
      <c r="A4" s="3" t="inlineStr">
        <is>
          <t>LİNYE NO
LINE NO</t>
        </is>
      </c>
      <c r="B4" s="3" t="inlineStr">
        <is>
          <t>DEVRE KESİCİLER  ·  CIRCUIT BREAKERS</t>
        </is>
      </c>
      <c r="C4" s="4" t="n"/>
      <c r="D4" s="4" t="n"/>
      <c r="E4" s="3" t="inlineStr">
        <is>
          <t>YÜKLER  ·  LOADS</t>
        </is>
      </c>
      <c r="F4" s="4" t="n"/>
      <c r="G4" s="4" t="n"/>
      <c r="H4" s="3" t="inlineStr">
        <is>
          <t>KABLO KESİTİ
CABLE SECTION</t>
        </is>
      </c>
      <c r="I4" s="3" t="inlineStr">
        <is>
          <t>KABLO CİNSİ
CABLE TYPE</t>
        </is>
      </c>
      <c r="J4" s="3" t="inlineStr">
        <is>
          <t>PANO GÜCÜ [W]  ·  PANELBOARD POWER [W]</t>
        </is>
      </c>
      <c r="K4" s="4" t="n"/>
      <c r="L4" s="4" t="n"/>
      <c r="M4" s="4" t="n"/>
      <c r="N4" s="3" t="inlineStr">
        <is>
          <t>AÇIKLAMA  ·  DESCRIPTION</t>
        </is>
      </c>
    </row>
    <row r="5" ht="32" customHeight="1">
      <c r="A5" s="4" t="n"/>
      <c r="B5" s="3" t="inlineStr">
        <is>
          <t>1. CİHAZ
1st DEVICE  (kaçak akım rölesi)</t>
        </is>
      </c>
      <c r="C5" s="3" t="inlineStr">
        <is>
          <t>2. CİHAZ
2nd DEVICE  (otomatik sigorta)</t>
        </is>
      </c>
      <c r="D5" s="3" t="inlineStr">
        <is>
          <t>3. CİHAZ
3rd DEVICE</t>
        </is>
      </c>
      <c r="E5" s="3" t="inlineStr">
        <is>
          <t>IŞIK
LIGHT.</t>
        </is>
      </c>
      <c r="F5" s="3" t="inlineStr">
        <is>
          <t>PRİZ
SOCKET</t>
        </is>
      </c>
      <c r="G5" s="3" t="inlineStr">
        <is>
          <t>MOTOR
MOTOR</t>
        </is>
      </c>
      <c r="H5" s="4" t="n"/>
      <c r="I5" s="4" t="n"/>
      <c r="J5" s="3" t="inlineStr">
        <is>
          <t>L1</t>
        </is>
      </c>
      <c r="K5" s="3" t="inlineStr">
        <is>
          <t>L2</t>
        </is>
      </c>
      <c r="L5" s="3" t="inlineStr">
        <is>
          <t>L3</t>
        </is>
      </c>
      <c r="M5" s="3" t="inlineStr">
        <is>
          <t>TOPLAM
TOTAL</t>
        </is>
      </c>
      <c r="N5" s="4" t="n"/>
    </row>
    <row r="6" ht="22" customHeight="1">
      <c r="A6" s="5" t="inlineStr">
        <is>
          <t>L1</t>
        </is>
      </c>
      <c r="B6" s="6" t="inlineStr">
        <is>
          <t>4×40 A / 30 mA, A tipi</t>
        </is>
      </c>
      <c r="C6" s="7" t="inlineStr">
        <is>
          <t>1x10 B 6kA</t>
        </is>
      </c>
      <c r="D6" s="8" t="inlineStr">
        <is>
          <t>—</t>
        </is>
      </c>
      <c r="E6" s="7" t="n">
        <v>1</v>
      </c>
      <c r="F6" s="7" t="n"/>
      <c r="G6" s="7" t="n"/>
      <c r="H6" s="7" t="inlineStr">
        <is>
          <t>3×2,5</t>
        </is>
      </c>
      <c r="I6" s="7" t="inlineStr">
        <is>
          <t>NHXMH</t>
        </is>
      </c>
      <c r="J6" s="9" t="n"/>
      <c r="K6" s="9" t="n">
        <v>280</v>
      </c>
      <c r="L6" s="9" t="n"/>
      <c r="M6" s="10">
        <f>SUM(J6:L6)</f>
        <v/>
      </c>
      <c r="N6" s="11" t="inlineStr">
        <is>
          <t>Aydınlatma — arena / serbest ağırlık</t>
        </is>
      </c>
    </row>
    <row r="7" ht="22" customHeight="1">
      <c r="A7" s="12" t="inlineStr">
        <is>
          <t>L2</t>
        </is>
      </c>
      <c r="B7" s="13" t="inlineStr"/>
      <c r="C7" s="14" t="inlineStr">
        <is>
          <t>1x10 B 6kA</t>
        </is>
      </c>
      <c r="D7" s="15" t="inlineStr">
        <is>
          <t>—</t>
        </is>
      </c>
      <c r="E7" s="14" t="n">
        <v>1</v>
      </c>
      <c r="F7" s="14" t="n"/>
      <c r="G7" s="14" t="n"/>
      <c r="H7" s="14" t="inlineStr">
        <is>
          <t>3×2,5</t>
        </is>
      </c>
      <c r="I7" s="14" t="inlineStr">
        <is>
          <t>NHXMH</t>
        </is>
      </c>
      <c r="J7" s="16" t="n"/>
      <c r="K7" s="16" t="n"/>
      <c r="L7" s="16" t="n">
        <v>120</v>
      </c>
      <c r="M7" s="17">
        <f>SUM(J7:L7)</f>
        <v/>
      </c>
      <c r="N7" s="18" t="inlineStr">
        <is>
          <t>Aydınlatma — fonksiyonel / kardiyo</t>
        </is>
      </c>
    </row>
    <row r="8" ht="22" customHeight="1">
      <c r="A8" s="5" t="inlineStr">
        <is>
          <t>L3</t>
        </is>
      </c>
      <c r="B8" s="19" t="inlineStr"/>
      <c r="C8" s="7" t="inlineStr">
        <is>
          <t>1x10 B 6kA</t>
        </is>
      </c>
      <c r="D8" s="8" t="inlineStr">
        <is>
          <t>—</t>
        </is>
      </c>
      <c r="E8" s="7" t="n">
        <v>1</v>
      </c>
      <c r="F8" s="7" t="n"/>
      <c r="G8" s="7" t="n"/>
      <c r="H8" s="7" t="inlineStr">
        <is>
          <t>3×2,5</t>
        </is>
      </c>
      <c r="I8" s="7" t="inlineStr">
        <is>
          <t>NHXMH</t>
        </is>
      </c>
      <c r="J8" s="9" t="n">
        <v>120</v>
      </c>
      <c r="K8" s="9" t="n"/>
      <c r="L8" s="9" t="n"/>
      <c r="M8" s="10">
        <f>SUM(J8:L8)</f>
        <v/>
      </c>
      <c r="N8" s="11" t="inlineStr">
        <is>
          <t>Aydınlatma — dinlenme salonu</t>
        </is>
      </c>
    </row>
    <row r="9" ht="22" customHeight="1">
      <c r="A9" s="12" t="inlineStr">
        <is>
          <t>L4</t>
        </is>
      </c>
      <c r="B9" s="13" t="inlineStr"/>
      <c r="C9" s="14" t="inlineStr">
        <is>
          <t>1x10 B 6kA</t>
        </is>
      </c>
      <c r="D9" s="15" t="inlineStr">
        <is>
          <t>—</t>
        </is>
      </c>
      <c r="E9" s="14" t="n">
        <v>1</v>
      </c>
      <c r="F9" s="14" t="n"/>
      <c r="G9" s="14" t="n"/>
      <c r="H9" s="14" t="inlineStr">
        <is>
          <t>3×2,5</t>
        </is>
      </c>
      <c r="I9" s="14" t="inlineStr">
        <is>
          <t>NHXMH</t>
        </is>
      </c>
      <c r="J9" s="16" t="n"/>
      <c r="K9" s="16" t="n"/>
      <c r="L9" s="16" t="n">
        <v>80</v>
      </c>
      <c r="M9" s="17">
        <f>SUM(J9:L9)</f>
        <v/>
      </c>
      <c r="N9" s="18" t="inlineStr">
        <is>
          <t>Aydınlatma — giriş / banko</t>
        </is>
      </c>
    </row>
    <row r="10" ht="22" customHeight="1">
      <c r="A10" s="5" t="inlineStr">
        <is>
          <t>L5</t>
        </is>
      </c>
      <c r="B10" s="6" t="inlineStr">
        <is>
          <t>2×40 A / 30 mA, A tipi</t>
        </is>
      </c>
      <c r="C10" s="7" t="inlineStr">
        <is>
          <t>1x10 B 6kA</t>
        </is>
      </c>
      <c r="D10" s="8" t="inlineStr">
        <is>
          <t>—</t>
        </is>
      </c>
      <c r="E10" s="7" t="n">
        <v>1</v>
      </c>
      <c r="F10" s="7" t="n"/>
      <c r="G10" s="7" t="n"/>
      <c r="H10" s="7" t="inlineStr">
        <is>
          <t>3×2,5</t>
        </is>
      </c>
      <c r="I10" s="7" t="inlineStr">
        <is>
          <t>NHXMH</t>
        </is>
      </c>
      <c r="J10" s="9" t="n">
        <v>108</v>
      </c>
      <c r="K10" s="9" t="n"/>
      <c r="L10" s="9" t="n"/>
      <c r="M10" s="10">
        <f>SUM(J10:L10)</f>
        <v/>
      </c>
      <c r="N10" s="11" t="inlineStr">
        <is>
          <t>Aydınlatma — ıslak hacim (IP44)</t>
        </is>
      </c>
    </row>
    <row r="11" ht="22" customHeight="1">
      <c r="A11" s="12" t="inlineStr">
        <is>
          <t>L6</t>
        </is>
      </c>
      <c r="B11" s="20" t="inlineStr">
        <is>
          <t>4×40 A / 30 mA, A tipi</t>
        </is>
      </c>
      <c r="C11" s="14" t="inlineStr">
        <is>
          <t>1x6 B 6kA</t>
        </is>
      </c>
      <c r="D11" s="15" t="inlineStr">
        <is>
          <t>—</t>
        </is>
      </c>
      <c r="E11" s="14" t="n">
        <v>1</v>
      </c>
      <c r="F11" s="14" t="n"/>
      <c r="G11" s="14" t="n"/>
      <c r="H11" s="14" t="inlineStr">
        <is>
          <t>3×2,5</t>
        </is>
      </c>
      <c r="I11" s="14" t="inlineStr">
        <is>
          <t>NHXMH</t>
        </is>
      </c>
      <c r="J11" s="16" t="n"/>
      <c r="K11" s="16" t="n">
        <v>64</v>
      </c>
      <c r="L11" s="16" t="n"/>
      <c r="M11" s="17">
        <f>SUM(J11:L11)</f>
        <v/>
      </c>
      <c r="N11" s="18" t="inlineStr">
        <is>
          <t>Acil aydınlatma ve yönlendirme</t>
        </is>
      </c>
    </row>
    <row r="12" ht="22" customHeight="1">
      <c r="A12" s="5" t="inlineStr">
        <is>
          <t>P1</t>
        </is>
      </c>
      <c r="B12" s="6" t="inlineStr">
        <is>
          <t>4×40 A / 30 mA, A tipi</t>
        </is>
      </c>
      <c r="C12" s="7" t="inlineStr">
        <is>
          <t>1x16 C 6kA</t>
        </is>
      </c>
      <c r="D12" s="8" t="inlineStr">
        <is>
          <t>—</t>
        </is>
      </c>
      <c r="E12" s="7" t="n"/>
      <c r="F12" s="7" t="n">
        <v>1</v>
      </c>
      <c r="G12" s="7" t="n"/>
      <c r="H12" s="7" t="inlineStr">
        <is>
          <t>3×2,5</t>
        </is>
      </c>
      <c r="I12" s="7" t="inlineStr">
        <is>
          <t>NHXMH</t>
        </is>
      </c>
      <c r="J12" s="9" t="n">
        <v>900</v>
      </c>
      <c r="K12" s="9" t="n"/>
      <c r="L12" s="9" t="n"/>
      <c r="M12" s="10">
        <f>SUM(J12:L12)</f>
        <v/>
      </c>
      <c r="N12" s="11" t="inlineStr">
        <is>
          <t>Priz — salon kuzey (PR12–PR16, PR1)</t>
        </is>
      </c>
    </row>
    <row r="13" ht="22" customHeight="1">
      <c r="A13" s="12" t="inlineStr">
        <is>
          <t>P2</t>
        </is>
      </c>
      <c r="B13" s="13" t="inlineStr"/>
      <c r="C13" s="14" t="inlineStr">
        <is>
          <t>1x16 C 6kA</t>
        </is>
      </c>
      <c r="D13" s="15" t="inlineStr">
        <is>
          <t>—</t>
        </is>
      </c>
      <c r="E13" s="14" t="n"/>
      <c r="F13" s="14" t="n">
        <v>1</v>
      </c>
      <c r="G13" s="14" t="n"/>
      <c r="H13" s="14" t="inlineStr">
        <is>
          <t>3×2,5</t>
        </is>
      </c>
      <c r="I13" s="14" t="inlineStr">
        <is>
          <t>NHXMH</t>
        </is>
      </c>
      <c r="J13" s="16" t="n"/>
      <c r="K13" s="16" t="n"/>
      <c r="L13" s="16" t="n">
        <v>750</v>
      </c>
      <c r="M13" s="17">
        <f>SUM(J13:L13)</f>
        <v/>
      </c>
      <c r="N13" s="18" t="inlineStr">
        <is>
          <t>Priz — salon güney (PR5–PR9)</t>
        </is>
      </c>
    </row>
    <row r="14" ht="22" customHeight="1">
      <c r="A14" s="5" t="inlineStr">
        <is>
          <t>P6</t>
        </is>
      </c>
      <c r="B14" s="19" t="inlineStr"/>
      <c r="C14" s="7" t="inlineStr">
        <is>
          <t>1x16 C 6kA</t>
        </is>
      </c>
      <c r="D14" s="8" t="inlineStr">
        <is>
          <t>—</t>
        </is>
      </c>
      <c r="E14" s="7" t="n"/>
      <c r="F14" s="7" t="n">
        <v>1</v>
      </c>
      <c r="G14" s="7" t="n"/>
      <c r="H14" s="7" t="inlineStr">
        <is>
          <t>3×2,5</t>
        </is>
      </c>
      <c r="I14" s="7" t="inlineStr">
        <is>
          <t>NHXMH</t>
        </is>
      </c>
      <c r="J14" s="9" t="n">
        <v>750</v>
      </c>
      <c r="K14" s="9" t="n"/>
      <c r="L14" s="9" t="n"/>
      <c r="M14" s="10">
        <f>SUM(J14:L14)</f>
        <v/>
      </c>
      <c r="N14" s="11" t="inlineStr">
        <is>
          <t>Priz — salon batı ve doğu (PR2–PR4, PR10, PR11)</t>
        </is>
      </c>
    </row>
    <row r="15" ht="22" customHeight="1">
      <c r="A15" s="12" t="inlineStr">
        <is>
          <t>P3</t>
        </is>
      </c>
      <c r="B15" s="13" t="inlineStr"/>
      <c r="C15" s="14" t="inlineStr">
        <is>
          <t>1x16 C 6kA</t>
        </is>
      </c>
      <c r="D15" s="15" t="inlineStr">
        <is>
          <t>—</t>
        </is>
      </c>
      <c r="E15" s="14" t="n"/>
      <c r="F15" s="14" t="n">
        <v>1</v>
      </c>
      <c r="G15" s="14" t="n"/>
      <c r="H15" s="14" t="inlineStr">
        <is>
          <t>3×2,5</t>
        </is>
      </c>
      <c r="I15" s="14" t="inlineStr">
        <is>
          <t>NHXMH</t>
        </is>
      </c>
      <c r="J15" s="16" t="n"/>
      <c r="K15" s="16" t="n">
        <v>1000</v>
      </c>
      <c r="L15" s="16" t="n"/>
      <c r="M15" s="17">
        <f>SUM(J15:L15)</f>
        <v/>
      </c>
      <c r="N15" s="18" t="inlineStr">
        <is>
          <t>Priz — banko, POS, veri</t>
        </is>
      </c>
    </row>
    <row r="16" ht="22" customHeight="1">
      <c r="A16" s="5" t="inlineStr">
        <is>
          <t>P4</t>
        </is>
      </c>
      <c r="B16" s="19" t="inlineStr"/>
      <c r="C16" s="7" t="inlineStr">
        <is>
          <t>1x16 C 6kA</t>
        </is>
      </c>
      <c r="D16" s="8" t="inlineStr">
        <is>
          <t>—</t>
        </is>
      </c>
      <c r="E16" s="7" t="n"/>
      <c r="F16" s="7" t="n">
        <v>1</v>
      </c>
      <c r="G16" s="7" t="n"/>
      <c r="H16" s="7" t="inlineStr">
        <is>
          <t>3×2,5</t>
        </is>
      </c>
      <c r="I16" s="7" t="inlineStr">
        <is>
          <t>NHXMH</t>
        </is>
      </c>
      <c r="J16" s="9" t="n">
        <v>2400</v>
      </c>
      <c r="K16" s="9" t="n"/>
      <c r="L16" s="9" t="n"/>
      <c r="M16" s="10">
        <f>SUM(J16:L16)</f>
        <v/>
      </c>
      <c r="N16" s="11" t="inlineStr">
        <is>
          <t>Priz — kardiyo ekipmanı (ayrı linye)</t>
        </is>
      </c>
    </row>
    <row r="17" ht="22" customHeight="1">
      <c r="A17" s="12" t="inlineStr">
        <is>
          <t>P5</t>
        </is>
      </c>
      <c r="B17" s="20" t="inlineStr">
        <is>
          <t>2×40 A / 30 mA, A tipi</t>
        </is>
      </c>
      <c r="C17" s="14" t="inlineStr">
        <is>
          <t>1x16 C 6kA</t>
        </is>
      </c>
      <c r="D17" s="15" t="inlineStr">
        <is>
          <t>—</t>
        </is>
      </c>
      <c r="E17" s="14" t="n"/>
      <c r="F17" s="14" t="n">
        <v>1</v>
      </c>
      <c r="G17" s="14" t="n"/>
      <c r="H17" s="14" t="inlineStr">
        <is>
          <t>3×2,5</t>
        </is>
      </c>
      <c r="I17" s="14" t="inlineStr">
        <is>
          <t>NHXMH</t>
        </is>
      </c>
      <c r="J17" s="16" t="n"/>
      <c r="K17" s="16" t="n"/>
      <c r="L17" s="16" t="n">
        <v>500</v>
      </c>
      <c r="M17" s="17">
        <f>SUM(J17:L17)</f>
        <v/>
      </c>
      <c r="N17" s="18" t="inlineStr">
        <is>
          <t>Priz — ıslak hacim IP44 (ayrı kaçak akım)</t>
        </is>
      </c>
    </row>
    <row r="18" ht="22" customHeight="1">
      <c r="A18" s="5" t="inlineStr">
        <is>
          <t>K1</t>
        </is>
      </c>
      <c r="B18" s="6" t="inlineStr">
        <is>
          <t>Korumasız (izlenir)</t>
        </is>
      </c>
      <c r="C18" s="7" t="inlineStr">
        <is>
          <t>1x16 C 6kA</t>
        </is>
      </c>
      <c r="D18" s="8" t="inlineStr">
        <is>
          <t>—</t>
        </is>
      </c>
      <c r="E18" s="7" t="n"/>
      <c r="F18" s="7" t="n"/>
      <c r="G18" s="7" t="n">
        <v>1</v>
      </c>
      <c r="H18" s="7" t="inlineStr">
        <is>
          <t>3×2,5</t>
        </is>
      </c>
      <c r="I18" s="7" t="inlineStr">
        <is>
          <t>NHXMH</t>
        </is>
      </c>
      <c r="J18" s="9" t="n"/>
      <c r="K18" s="9" t="n">
        <v>2200</v>
      </c>
      <c r="L18" s="9" t="n"/>
      <c r="M18" s="10">
        <f>SUM(J18:L18)</f>
        <v/>
      </c>
      <c r="N18" s="11" t="inlineStr">
        <is>
          <t>Klima — arena 24.000 BTU</t>
        </is>
      </c>
    </row>
    <row r="19" ht="22" customHeight="1">
      <c r="A19" s="12" t="inlineStr">
        <is>
          <t>K2</t>
        </is>
      </c>
      <c r="B19" s="13" t="inlineStr"/>
      <c r="C19" s="14" t="inlineStr">
        <is>
          <t>1x16 C 6kA</t>
        </is>
      </c>
      <c r="D19" s="15" t="inlineStr">
        <is>
          <t>—</t>
        </is>
      </c>
      <c r="E19" s="14" t="n"/>
      <c r="F19" s="14" t="n"/>
      <c r="G19" s="14" t="n">
        <v>1</v>
      </c>
      <c r="H19" s="14" t="inlineStr">
        <is>
          <t>3×2,5</t>
        </is>
      </c>
      <c r="I19" s="14" t="inlineStr">
        <is>
          <t>NHXMH</t>
        </is>
      </c>
      <c r="J19" s="16" t="n"/>
      <c r="K19" s="16" t="n">
        <v>1700</v>
      </c>
      <c r="L19" s="16" t="n"/>
      <c r="M19" s="17">
        <f>SUM(J19:L19)</f>
        <v/>
      </c>
      <c r="N19" s="18" t="inlineStr">
        <is>
          <t>Klima — fonksiyonel 18.000 BTU</t>
        </is>
      </c>
    </row>
    <row r="20" ht="22" customHeight="1">
      <c r="A20" s="5" t="inlineStr">
        <is>
          <t>K3</t>
        </is>
      </c>
      <c r="B20" s="19" t="inlineStr"/>
      <c r="C20" s="7" t="inlineStr">
        <is>
          <t>1x16 C 6kA</t>
        </is>
      </c>
      <c r="D20" s="8" t="inlineStr">
        <is>
          <t>—</t>
        </is>
      </c>
      <c r="E20" s="7" t="n"/>
      <c r="F20" s="7" t="n"/>
      <c r="G20" s="7" t="n">
        <v>1</v>
      </c>
      <c r="H20" s="7" t="inlineStr">
        <is>
          <t>3×2,5</t>
        </is>
      </c>
      <c r="I20" s="7" t="inlineStr">
        <is>
          <t>NHXMH</t>
        </is>
      </c>
      <c r="J20" s="9" t="n">
        <v>1150</v>
      </c>
      <c r="K20" s="9" t="n"/>
      <c r="L20" s="9" t="n"/>
      <c r="M20" s="10">
        <f>SUM(J20:L20)</f>
        <v/>
      </c>
      <c r="N20" s="11" t="inlineStr">
        <is>
          <t>Klima — giriş 12.000 BTU</t>
        </is>
      </c>
    </row>
    <row r="21" ht="22" customHeight="1">
      <c r="A21" s="12" t="inlineStr">
        <is>
          <t>K4</t>
        </is>
      </c>
      <c r="B21" s="13" t="inlineStr"/>
      <c r="C21" s="14" t="inlineStr">
        <is>
          <t>1x16 C 6kA</t>
        </is>
      </c>
      <c r="D21" s="15" t="inlineStr">
        <is>
          <t>—</t>
        </is>
      </c>
      <c r="E21" s="14" t="n"/>
      <c r="F21" s="14" t="n"/>
      <c r="G21" s="14" t="n">
        <v>1</v>
      </c>
      <c r="H21" s="14" t="inlineStr">
        <is>
          <t>3×2,5</t>
        </is>
      </c>
      <c r="I21" s="14" t="inlineStr">
        <is>
          <t>NHXMH</t>
        </is>
      </c>
      <c r="J21" s="16" t="n">
        <v>1150</v>
      </c>
      <c r="K21" s="16" t="n"/>
      <c r="L21" s="16" t="n"/>
      <c r="M21" s="17">
        <f>SUM(J21:L21)</f>
        <v/>
      </c>
      <c r="N21" s="18" t="inlineStr">
        <is>
          <t>Klima — dinlenme 12.000 BTU</t>
        </is>
      </c>
    </row>
    <row r="22" ht="22" customHeight="1">
      <c r="A22" s="5" t="inlineStr">
        <is>
          <t>W1</t>
        </is>
      </c>
      <c r="B22" s="6" t="inlineStr">
        <is>
          <t>2×40 A / 30 mA, A tipi</t>
        </is>
      </c>
      <c r="C22" s="7" t="inlineStr">
        <is>
          <t>1x20 C 6kA</t>
        </is>
      </c>
      <c r="D22" s="8" t="inlineStr">
        <is>
          <t>—</t>
        </is>
      </c>
      <c r="E22" s="7" t="n"/>
      <c r="F22" s="7" t="n"/>
      <c r="G22" s="7" t="n">
        <v>1</v>
      </c>
      <c r="H22" s="7" t="inlineStr">
        <is>
          <t>3×2,5</t>
        </is>
      </c>
      <c r="I22" s="7" t="inlineStr">
        <is>
          <t>NHXMH</t>
        </is>
      </c>
      <c r="J22" s="9" t="n"/>
      <c r="K22" s="9" t="n"/>
      <c r="L22" s="9" t="n">
        <v>3000</v>
      </c>
      <c r="M22" s="10">
        <f>SUM(J22:L22)</f>
        <v/>
      </c>
      <c r="N22" s="11" t="inlineStr">
        <is>
          <t>Su ısıtıcı — erkek bloğu, boyler 3 kW</t>
        </is>
      </c>
    </row>
    <row r="23" ht="22" customHeight="1">
      <c r="A23" s="12" t="inlineStr">
        <is>
          <t>W2</t>
        </is>
      </c>
      <c r="B23" s="13" t="inlineStr"/>
      <c r="C23" s="14" t="inlineStr">
        <is>
          <t>1x20 C 6kA</t>
        </is>
      </c>
      <c r="D23" s="15" t="inlineStr">
        <is>
          <t>—</t>
        </is>
      </c>
      <c r="E23" s="14" t="n"/>
      <c r="F23" s="14" t="n"/>
      <c r="G23" s="14" t="n">
        <v>1</v>
      </c>
      <c r="H23" s="14" t="inlineStr">
        <is>
          <t>3×2,5</t>
        </is>
      </c>
      <c r="I23" s="14" t="inlineStr">
        <is>
          <t>NHXMH</t>
        </is>
      </c>
      <c r="J23" s="16" t="n"/>
      <c r="K23" s="16" t="n"/>
      <c r="L23" s="16" t="n">
        <v>3000</v>
      </c>
      <c r="M23" s="17">
        <f>SUM(J23:L23)</f>
        <v/>
      </c>
      <c r="N23" s="18" t="inlineStr">
        <is>
          <t>Su ısıtıcı — kadın bloğu, boyler 3 kW</t>
        </is>
      </c>
    </row>
    <row r="24" ht="22" customHeight="1">
      <c r="A24" s="5" t="inlineStr">
        <is>
          <t>V1</t>
        </is>
      </c>
      <c r="B24" s="6" t="inlineStr">
        <is>
          <t>4×40 A / 30 mA, A tipi</t>
        </is>
      </c>
      <c r="C24" s="7" t="inlineStr">
        <is>
          <t>1x10 C 6kA</t>
        </is>
      </c>
      <c r="D24" s="8" t="inlineStr">
        <is>
          <t>—</t>
        </is>
      </c>
      <c r="E24" s="7" t="n"/>
      <c r="F24" s="7" t="n"/>
      <c r="G24" s="7" t="n">
        <v>1</v>
      </c>
      <c r="H24" s="7" t="inlineStr">
        <is>
          <t>3×2,5</t>
        </is>
      </c>
      <c r="I24" s="7" t="inlineStr">
        <is>
          <t>NHXMH</t>
        </is>
      </c>
      <c r="J24" s="9" t="n"/>
      <c r="K24" s="9" t="n">
        <v>450</v>
      </c>
      <c r="L24" s="9" t="n"/>
      <c r="M24" s="10">
        <f>SUM(J24:L24)</f>
        <v/>
      </c>
      <c r="N24" s="11" t="inlineStr">
        <is>
          <t>Havalandırma — taze hava + egzoz fanı</t>
        </is>
      </c>
    </row>
    <row r="25" ht="22" customHeight="1">
      <c r="A25" s="12" t="inlineStr">
        <is>
          <t>V2</t>
        </is>
      </c>
      <c r="B25" s="13" t="inlineStr"/>
      <c r="C25" s="14" t="inlineStr">
        <is>
          <t>1x6 C 6kA</t>
        </is>
      </c>
      <c r="D25" s="15" t="inlineStr">
        <is>
          <t>—</t>
        </is>
      </c>
      <c r="E25" s="14" t="n"/>
      <c r="F25" s="14" t="n"/>
      <c r="G25" s="14" t="n">
        <v>1</v>
      </c>
      <c r="H25" s="14" t="inlineStr">
        <is>
          <t>3×2,5</t>
        </is>
      </c>
      <c r="I25" s="14" t="inlineStr">
        <is>
          <t>NHXMH</t>
        </is>
      </c>
      <c r="J25" s="16" t="n"/>
      <c r="K25" s="16" t="n">
        <v>120</v>
      </c>
      <c r="L25" s="16" t="n"/>
      <c r="M25" s="17">
        <f>SUM(J25:L25)</f>
        <v/>
      </c>
      <c r="N25" s="18" t="inlineStr">
        <is>
          <t>Islak hacim egzoz fanı</t>
        </is>
      </c>
    </row>
    <row r="26" ht="22" customHeight="1">
      <c r="A26" s="5" t="inlineStr">
        <is>
          <t>Z1</t>
        </is>
      </c>
      <c r="B26" s="6" t="inlineStr">
        <is>
          <t>4×40 A / 30 mA, A tipi</t>
        </is>
      </c>
      <c r="C26" s="7" t="inlineStr">
        <is>
          <t>1x10 C 6kA</t>
        </is>
      </c>
      <c r="D26" s="8" t="inlineStr">
        <is>
          <t>—</t>
        </is>
      </c>
      <c r="E26" s="7" t="n"/>
      <c r="F26" s="7" t="n">
        <v>1</v>
      </c>
      <c r="G26" s="7" t="n"/>
      <c r="H26" s="7" t="inlineStr">
        <is>
          <t>3×2,5</t>
        </is>
      </c>
      <c r="I26" s="7" t="inlineStr">
        <is>
          <t>NHXMH</t>
        </is>
      </c>
      <c r="J26" s="9" t="n"/>
      <c r="K26" s="9" t="n"/>
      <c r="L26" s="9" t="n">
        <v>600</v>
      </c>
      <c r="M26" s="10">
        <f>SUM(J26:L26)</f>
        <v/>
      </c>
      <c r="N26" s="11" t="inlineStr">
        <is>
          <t>Zayıf akım — rack, CCTV, ses, geçiş kontrol</t>
        </is>
      </c>
    </row>
    <row r="27" ht="22" customHeight="1">
      <c r="A27" s="12" t="inlineStr">
        <is>
          <t>Z2</t>
        </is>
      </c>
      <c r="B27" s="20" t="inlineStr">
        <is>
          <t>Korumasız (izlenir)</t>
        </is>
      </c>
      <c r="C27" s="14" t="inlineStr">
        <is>
          <t>1x6 C 6kA</t>
        </is>
      </c>
      <c r="D27" s="15" t="inlineStr">
        <is>
          <t>—</t>
        </is>
      </c>
      <c r="E27" s="14" t="n"/>
      <c r="F27" s="14" t="n">
        <v>1</v>
      </c>
      <c r="G27" s="14" t="n"/>
      <c r="H27" s="14" t="inlineStr">
        <is>
          <t>3×2,5</t>
        </is>
      </c>
      <c r="I27" s="14" t="inlineStr">
        <is>
          <t>NHXMH</t>
        </is>
      </c>
      <c r="J27" s="16" t="n">
        <v>150</v>
      </c>
      <c r="K27" s="16" t="n"/>
      <c r="L27" s="16" t="n"/>
      <c r="M27" s="17">
        <f>SUM(J27:L27)</f>
        <v/>
      </c>
      <c r="N27" s="18" t="inlineStr">
        <is>
          <t>Yangın algılama paneli (kesintisiz)</t>
        </is>
      </c>
    </row>
    <row r="28">
      <c r="A28" s="21" t="inlineStr">
        <is>
          <t>Y1</t>
        </is>
      </c>
      <c r="B28" s="22" t="inlineStr"/>
      <c r="C28" s="8" t="inlineStr">
        <is>
          <t>1x16 C 6kA</t>
        </is>
      </c>
      <c r="D28" s="8" t="inlineStr">
        <is>
          <t>—</t>
        </is>
      </c>
      <c r="E28" s="7" t="n"/>
      <c r="F28" s="7" t="n"/>
      <c r="G28" s="7" t="n"/>
      <c r="H28" s="8" t="inlineStr">
        <is>
          <t>3×2,5</t>
        </is>
      </c>
      <c r="I28" s="8" t="inlineStr">
        <is>
          <t>NHXMH</t>
        </is>
      </c>
      <c r="J28" s="9" t="n"/>
      <c r="K28" s="9" t="n"/>
      <c r="L28" s="9" t="n"/>
      <c r="M28" s="23">
        <f>SUM(J28:L28)</f>
        <v/>
      </c>
      <c r="N28" s="24" t="inlineStr">
        <is>
          <t>YEDEK — ileride ilave edilecek tüketici için boş linye</t>
        </is>
      </c>
    </row>
    <row r="29">
      <c r="A29" s="25" t="inlineStr">
        <is>
          <t>Y2</t>
        </is>
      </c>
      <c r="B29" s="26" t="inlineStr"/>
      <c r="C29" s="15" t="inlineStr">
        <is>
          <t>1x16 C 6kA</t>
        </is>
      </c>
      <c r="D29" s="15" t="inlineStr">
        <is>
          <t>—</t>
        </is>
      </c>
      <c r="E29" s="14" t="n"/>
      <c r="F29" s="14" t="n"/>
      <c r="G29" s="14" t="n"/>
      <c r="H29" s="15" t="inlineStr">
        <is>
          <t>3×2,5</t>
        </is>
      </c>
      <c r="I29" s="15" t="inlineStr">
        <is>
          <t>NHXMH</t>
        </is>
      </c>
      <c r="J29" s="16" t="n"/>
      <c r="K29" s="16" t="n"/>
      <c r="L29" s="16" t="n"/>
      <c r="M29" s="27">
        <f>SUM(J29:L29)</f>
        <v/>
      </c>
      <c r="N29" s="28" t="inlineStr">
        <is>
          <t>YEDEK — ileride ilave edilecek tüketici için boş linye</t>
        </is>
      </c>
    </row>
    <row r="30">
      <c r="A30" s="21" t="inlineStr">
        <is>
          <t>Y3</t>
        </is>
      </c>
      <c r="B30" s="22" t="inlineStr"/>
      <c r="C30" s="8" t="inlineStr">
        <is>
          <t>1x16 C 6kA</t>
        </is>
      </c>
      <c r="D30" s="8" t="inlineStr">
        <is>
          <t>—</t>
        </is>
      </c>
      <c r="E30" s="7" t="n"/>
      <c r="F30" s="7" t="n"/>
      <c r="G30" s="7" t="n"/>
      <c r="H30" s="8" t="inlineStr">
        <is>
          <t>3×2,5</t>
        </is>
      </c>
      <c r="I30" s="8" t="inlineStr">
        <is>
          <t>NHXMH</t>
        </is>
      </c>
      <c r="J30" s="9" t="n"/>
      <c r="K30" s="9" t="n"/>
      <c r="L30" s="9" t="n"/>
      <c r="M30" s="23">
        <f>SUM(J30:L30)</f>
        <v/>
      </c>
      <c r="N30" s="24" t="inlineStr">
        <is>
          <t>YEDEK — ileride ilave edilecek tüketici için boş linye</t>
        </is>
      </c>
    </row>
    <row r="31">
      <c r="A31" s="25" t="inlineStr">
        <is>
          <t>Y4</t>
        </is>
      </c>
      <c r="B31" s="26" t="inlineStr"/>
      <c r="C31" s="15" t="inlineStr">
        <is>
          <t>1x16 C 6kA</t>
        </is>
      </c>
      <c r="D31" s="15" t="inlineStr">
        <is>
          <t>—</t>
        </is>
      </c>
      <c r="E31" s="14" t="n"/>
      <c r="F31" s="14" t="n"/>
      <c r="G31" s="14" t="n"/>
      <c r="H31" s="15" t="inlineStr">
        <is>
          <t>3×2,5</t>
        </is>
      </c>
      <c r="I31" s="15" t="inlineStr">
        <is>
          <t>NHXMH</t>
        </is>
      </c>
      <c r="J31" s="16" t="n"/>
      <c r="K31" s="16" t="n"/>
      <c r="L31" s="16" t="n"/>
      <c r="M31" s="27">
        <f>SUM(J31:L31)</f>
        <v/>
      </c>
      <c r="N31" s="28" t="inlineStr">
        <is>
          <t>YEDEK — ileride ilave edilecek tüketici için boş linye</t>
        </is>
      </c>
    </row>
    <row r="32">
      <c r="A32" s="29" t="inlineStr">
        <is>
          <t>TOPLAM / TOTAL</t>
        </is>
      </c>
      <c r="E32" s="29">
        <f>SUM(E6:E31)</f>
        <v/>
      </c>
      <c r="F32" s="29">
        <f>SUM(F6:F31)</f>
        <v/>
      </c>
      <c r="G32" s="29">
        <f>SUM(G6:G31)</f>
        <v/>
      </c>
      <c r="H32" s="29" t="inlineStr"/>
      <c r="I32" s="29" t="inlineStr"/>
      <c r="J32" s="30">
        <f>SUM(J6:J31)</f>
        <v/>
      </c>
      <c r="K32" s="30">
        <f>SUM(K6:K31)</f>
        <v/>
      </c>
      <c r="L32" s="30">
        <f>SUM(L6:L31)</f>
        <v/>
      </c>
      <c r="M32" s="30">
        <f>SUM(M6:M31)</f>
        <v/>
      </c>
      <c r="N32" s="31" t="inlineStr"/>
    </row>
    <row r="34">
      <c r="A34" s="32" t="inlineStr">
        <is>
          <t>PANO BİLGİLERİ</t>
        </is>
      </c>
      <c r="B34" s="33" t="n"/>
      <c r="C34" s="33" t="n"/>
      <c r="D34" s="33" t="n"/>
      <c r="E34" s="33" t="n"/>
      <c r="F34" s="34" t="n"/>
      <c r="H34" s="32" t="inlineStr">
        <is>
          <t>DİVERSİTE KATSAYILARI</t>
        </is>
      </c>
      <c r="I34" s="33" t="n"/>
      <c r="J34" s="33" t="n"/>
      <c r="K34" s="33" t="n"/>
      <c r="L34" s="33" t="n"/>
      <c r="M34" s="33" t="n"/>
      <c r="N34" s="34" t="n"/>
    </row>
    <row r="35">
      <c r="A35" s="35" t="inlineStr">
        <is>
          <t>PANO ADI / PANEL NAME</t>
        </is>
      </c>
      <c r="B35" s="33" t="n"/>
      <c r="C35" s="33" t="n"/>
      <c r="D35" s="34" t="n"/>
      <c r="E35" s="36" t="inlineStr">
        <is>
          <t>ADP</t>
        </is>
      </c>
      <c r="H35" s="35" t="inlineStr">
        <is>
          <t>Aydınlatma diversitesi</t>
        </is>
      </c>
      <c r="I35" s="33" t="n"/>
      <c r="J35" s="34" t="n"/>
      <c r="K35" s="37" t="n">
        <v>0.9</v>
      </c>
      <c r="L35" s="34" t="n"/>
    </row>
    <row r="36">
      <c r="A36" s="35" t="inlineStr">
        <is>
          <t>KOLON NO / RISER NO</t>
        </is>
      </c>
      <c r="B36" s="33" t="n"/>
      <c r="C36" s="33" t="n"/>
      <c r="D36" s="34" t="n"/>
      <c r="E36" s="36" t="inlineStr">
        <is>
          <t>—</t>
        </is>
      </c>
      <c r="H36" s="35" t="inlineStr">
        <is>
          <t>Priz diversitesi</t>
        </is>
      </c>
      <c r="I36" s="33" t="n"/>
      <c r="J36" s="34" t="n"/>
      <c r="K36" s="37" t="n">
        <v>0.8</v>
      </c>
      <c r="L36" s="34" t="n"/>
    </row>
    <row r="37">
      <c r="A37" s="35" t="inlineStr">
        <is>
          <t>COS φ / POWER FACTOR</t>
        </is>
      </c>
      <c r="B37" s="33" t="n"/>
      <c r="C37" s="33" t="n"/>
      <c r="D37" s="34" t="n"/>
      <c r="E37" s="38" t="n">
        <v>0.9</v>
      </c>
      <c r="H37" s="35" t="inlineStr">
        <is>
          <t>Motor / cihaz diversitesi</t>
        </is>
      </c>
      <c r="I37" s="33" t="n"/>
      <c r="J37" s="34" t="n"/>
      <c r="K37" s="37" t="n">
        <v>0.85</v>
      </c>
      <c r="L37" s="34" t="n"/>
    </row>
    <row r="38" ht="24" customHeight="1">
      <c r="A38" s="35" t="inlineStr">
        <is>
          <t>NOMİNAL AKIM / NOM. CURRENT [A]</t>
        </is>
      </c>
      <c r="B38" s="33" t="n"/>
      <c r="C38" s="33" t="n"/>
      <c r="D38" s="34" t="n"/>
      <c r="E38" s="38">
        <f>M32/(SQRT(3)*400*E37)</f>
        <v/>
      </c>
      <c r="H38" s="18" t="inlineStr">
        <is>
          <t>1) Gerilim düşüm hesapları yapılarak kesitler belirlenmiştir — bkz. E-07 paftası.</t>
        </is>
      </c>
    </row>
    <row r="39" ht="24" customHeight="1">
      <c r="A39" s="35" t="inlineStr">
        <is>
          <t>TALEP AKIM / DEMAND CURRENT [A]</t>
        </is>
      </c>
      <c r="B39" s="33" t="n"/>
      <c r="C39" s="33" t="n"/>
      <c r="D39" s="34" t="n"/>
      <c r="E39" s="38">
        <f>M44/(SQRT(3)*400*E37)</f>
        <v/>
      </c>
      <c r="H39" s="18" t="inlineStr">
        <is>
          <t>2) Tüm son devrelerde 30 mA A tipi kaçak akım koruması; ana girişte 300 mA S tipi seçici koruma.</t>
        </is>
      </c>
    </row>
    <row r="40" ht="24" customHeight="1">
      <c r="A40" s="35" t="inlineStr">
        <is>
          <t>BESLEME KABLOSU / SUPPLY CABLE</t>
        </is>
      </c>
      <c r="B40" s="33" t="n"/>
      <c r="C40" s="33" t="n"/>
      <c r="D40" s="34" t="n"/>
      <c r="E40" s="36" t="inlineStr">
        <is>
          <t>NYY 5×10 mm²</t>
        </is>
      </c>
      <c r="H40" s="18" t="inlineStr">
        <is>
          <t>3) Yangın algılama paneli (Z2) kaçak akım rölesi arkasına ALINMAZ; kendi aküsüyle 60 dk beslenir.</t>
        </is>
      </c>
    </row>
    <row r="41" ht="24" customHeight="1">
      <c r="A41" s="35" t="inlineStr">
        <is>
          <t>IŞIK TALEP GÜCÜ / LIGHTING DEMAND [W]</t>
        </is>
      </c>
      <c r="B41" s="33" t="n"/>
      <c r="C41" s="33" t="n"/>
      <c r="D41" s="34" t="n"/>
      <c r="E41" s="39">
        <f>SUMIF($E$6:$E$31,1,$M$6:$M$31)*K35</f>
        <v/>
      </c>
      <c r="H41" s="18" t="inlineStr">
        <is>
          <t>4) Kablolar halojensiz (NHXMH / N2XH); ıslak hacim linyeleri ayrı kaçak akım rölesindedir.</t>
        </is>
      </c>
    </row>
    <row r="42" ht="24" customHeight="1">
      <c r="A42" s="35" t="inlineStr">
        <is>
          <t>PRİZ TALEP GÜCÜ / SOCKET DEMAND [W]</t>
        </is>
      </c>
      <c r="B42" s="33" t="n"/>
      <c r="C42" s="33" t="n"/>
      <c r="D42" s="34" t="n"/>
      <c r="E42" s="39">
        <f>SUMIF($F$6:$F$31,1,$M$6:$M$31)*K36</f>
        <v/>
      </c>
      <c r="H42" s="18" t="inlineStr">
        <is>
          <t>5) Akım taşıma kapasiteleri TS HD 60364-5-52, B2 döşeme yöntemi, 30 °C ortam içindir.</t>
        </is>
      </c>
    </row>
    <row r="43" ht="24" customHeight="1">
      <c r="A43" s="35" t="inlineStr">
        <is>
          <t>MOTOR TALEP GÜCÜ / MOTOR DEMAND [W]</t>
        </is>
      </c>
      <c r="B43" s="33" t="n"/>
      <c r="C43" s="33" t="n"/>
      <c r="D43" s="34" t="n"/>
      <c r="E43" s="39">
        <f>SUMIF($G$6:$G$31,1,$M$6:$M$31)*K37</f>
        <v/>
      </c>
      <c r="H43" s="18" t="inlineStr">
        <is>
          <t>6) Pano içinde en az 4 adet yedek linye yeri bırakılacaktır.</t>
        </is>
      </c>
    </row>
    <row r="44">
      <c r="A44" s="35" t="inlineStr">
        <is>
          <t>TOPLAM TALEP GÜCÜ / TOTAL DEMAND [W]</t>
        </is>
      </c>
      <c r="B44" s="33" t="n"/>
      <c r="C44" s="33" t="n"/>
      <c r="D44" s="34" t="n"/>
      <c r="E44" s="39">
        <f>SUM(E41:E43)</f>
        <v/>
      </c>
    </row>
    <row r="45">
      <c r="A45" s="35" t="inlineStr">
        <is>
          <t>GİRİŞ ŞALTERİ / MAIN CIRCUIT BREAKER</t>
        </is>
      </c>
      <c r="B45" s="33" t="n"/>
      <c r="C45" s="33" t="n"/>
      <c r="D45" s="34" t="n"/>
      <c r="E45" s="36" t="inlineStr">
        <is>
          <t>3x32A TMŞ</t>
        </is>
      </c>
    </row>
  </sheetData>
  <mergeCells count="56">
    <mergeCell ref="E43:F43"/>
    <mergeCell ref="H36:J36"/>
    <mergeCell ref="A35:D35"/>
    <mergeCell ref="A38:D38"/>
    <mergeCell ref="E42:F42"/>
    <mergeCell ref="A43:D43"/>
    <mergeCell ref="B5"/>
    <mergeCell ref="K36:L36"/>
    <mergeCell ref="E39:F39"/>
    <mergeCell ref="D5"/>
    <mergeCell ref="H42:N42"/>
    <mergeCell ref="E44:F44"/>
    <mergeCell ref="A1:N1"/>
    <mergeCell ref="A44:D44"/>
    <mergeCell ref="E35:F35"/>
    <mergeCell ref="A40:D40"/>
    <mergeCell ref="K35:L35"/>
    <mergeCell ref="E38:F38"/>
    <mergeCell ref="H37:J37"/>
    <mergeCell ref="A39:D39"/>
    <mergeCell ref="H43:N43"/>
    <mergeCell ref="J5"/>
    <mergeCell ref="H38:N38"/>
    <mergeCell ref="K5"/>
    <mergeCell ref="E40:F40"/>
    <mergeCell ref="M5"/>
    <mergeCell ref="C5"/>
    <mergeCell ref="A36:D36"/>
    <mergeCell ref="E5"/>
    <mergeCell ref="A45:D45"/>
    <mergeCell ref="H41:N41"/>
    <mergeCell ref="A4:A5"/>
    <mergeCell ref="H40:N40"/>
    <mergeCell ref="A2:N2"/>
    <mergeCell ref="B4:D4"/>
    <mergeCell ref="I4:I5"/>
    <mergeCell ref="H39:N39"/>
    <mergeCell ref="H34:N34"/>
    <mergeCell ref="E45:F45"/>
    <mergeCell ref="A34:F34"/>
    <mergeCell ref="E36:F36"/>
    <mergeCell ref="A41:D41"/>
    <mergeCell ref="H35:J35"/>
    <mergeCell ref="F5"/>
    <mergeCell ref="L5"/>
    <mergeCell ref="A37:D37"/>
    <mergeCell ref="E41:F41"/>
    <mergeCell ref="H4:H5"/>
    <mergeCell ref="J4:M4"/>
    <mergeCell ref="N4:N5"/>
    <mergeCell ref="E37:F37"/>
    <mergeCell ref="K37:L37"/>
    <mergeCell ref="E4:G4"/>
    <mergeCell ref="A42:D42"/>
    <mergeCell ref="A32:D32"/>
    <mergeCell ref="G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10" customWidth="1" min="4" max="4"/>
    <col width="10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 ht="24" customHeight="1">
      <c r="A1" s="40" t="inlineStr">
        <is>
          <t>GERİLİM DÜŞÜMÜ VE KESİT KONTROL CETVELİ</t>
        </is>
      </c>
    </row>
    <row r="2" ht="15" customHeight="1">
      <c r="A2" s="41" t="inlineStr">
        <is>
          <t>U=230 V · ρ=0,0225 Ω·mm²/m (70 °C) · TS HD 60364-5-52 · hat boyu = kuş uçuşu × 1.25 + 6 m</t>
        </is>
      </c>
    </row>
    <row r="4" ht="30" customHeight="1">
      <c r="A4" s="42" t="inlineStr">
        <is>
          <t>LİNYE</t>
        </is>
      </c>
      <c r="B4" s="42" t="inlineStr">
        <is>
          <t>TANIM</t>
        </is>
      </c>
      <c r="C4" s="42" t="inlineStr">
        <is>
          <t>FAZ</t>
        </is>
      </c>
      <c r="D4" s="42" t="inlineStr">
        <is>
          <t>Pb (kW)</t>
        </is>
      </c>
      <c r="E4" s="42" t="inlineStr">
        <is>
          <t>Pt (kW)</t>
        </is>
      </c>
      <c r="F4" s="42" t="inlineStr">
        <is>
          <t>cos φ</t>
        </is>
      </c>
      <c r="G4" s="42" t="inlineStr">
        <is>
          <t>Ib (A)</t>
        </is>
      </c>
      <c r="H4" s="42" t="inlineStr">
        <is>
          <t>In (A)</t>
        </is>
      </c>
      <c r="I4" s="42" t="inlineStr">
        <is>
          <t>KABLO</t>
        </is>
      </c>
      <c r="J4" s="42" t="inlineStr">
        <is>
          <t>Iz (A)</t>
        </is>
      </c>
      <c r="K4" s="42" t="inlineStr">
        <is>
          <t>L (m)</t>
        </is>
      </c>
      <c r="L4" s="42" t="inlineStr">
        <is>
          <t>ΔU (V)</t>
        </is>
      </c>
      <c r="M4" s="42" t="inlineStr">
        <is>
          <t>ΔU (%)</t>
        </is>
      </c>
      <c r="N4" s="42" t="inlineStr">
        <is>
          <t>SONUÇ</t>
        </is>
      </c>
    </row>
    <row r="5">
      <c r="A5" s="43" t="inlineStr">
        <is>
          <t>L1</t>
        </is>
      </c>
      <c r="B5" s="44" t="inlineStr">
        <is>
          <t>Aydınlatma — arena / serbest ağırlık</t>
        </is>
      </c>
      <c r="C5" s="45" t="inlineStr">
        <is>
          <t>L2</t>
        </is>
      </c>
      <c r="D5" s="46" t="n">
        <v>0.28</v>
      </c>
      <c r="E5" s="46" t="n">
        <v>0.28</v>
      </c>
      <c r="F5" s="47" t="n">
        <v>0.95</v>
      </c>
      <c r="G5" s="46" t="n">
        <v>1.3</v>
      </c>
      <c r="H5" s="48" t="n">
        <v>10</v>
      </c>
      <c r="I5" s="45" t="inlineStr">
        <is>
          <t>3×2,5</t>
        </is>
      </c>
      <c r="J5" s="46" t="n">
        <v>23</v>
      </c>
      <c r="K5" s="46" t="n">
        <v>13.5</v>
      </c>
      <c r="L5" s="46" t="n">
        <v>0.3</v>
      </c>
      <c r="M5" s="49" t="n">
        <v>0.13</v>
      </c>
      <c r="N5" s="50" t="inlineStr">
        <is>
          <t>UYGUN</t>
        </is>
      </c>
    </row>
    <row r="6">
      <c r="A6" s="43" t="inlineStr">
        <is>
          <t>L2</t>
        </is>
      </c>
      <c r="B6" s="44" t="inlineStr">
        <is>
          <t>Aydınlatma — fonksiyonel / kardiyo</t>
        </is>
      </c>
      <c r="C6" s="45" t="inlineStr">
        <is>
          <t>L3</t>
        </is>
      </c>
      <c r="D6" s="46" t="n">
        <v>0.12</v>
      </c>
      <c r="E6" s="46" t="n">
        <v>0.12</v>
      </c>
      <c r="F6" s="47" t="n">
        <v>0.95</v>
      </c>
      <c r="G6" s="46" t="n">
        <v>0.5</v>
      </c>
      <c r="H6" s="48" t="n">
        <v>10</v>
      </c>
      <c r="I6" s="45" t="inlineStr">
        <is>
          <t>3×2,5</t>
        </is>
      </c>
      <c r="J6" s="46" t="n">
        <v>23</v>
      </c>
      <c r="K6" s="46" t="n">
        <v>11.3</v>
      </c>
      <c r="L6" s="46" t="n">
        <v>0.1</v>
      </c>
      <c r="M6" s="49" t="n">
        <v>0.05</v>
      </c>
      <c r="N6" s="50" t="inlineStr">
        <is>
          <t>UYGUN</t>
        </is>
      </c>
    </row>
    <row r="7">
      <c r="A7" s="43" t="inlineStr">
        <is>
          <t>L3</t>
        </is>
      </c>
      <c r="B7" s="44" t="inlineStr">
        <is>
          <t>Aydınlatma — dinlenme salonu</t>
        </is>
      </c>
      <c r="C7" s="45" t="inlineStr">
        <is>
          <t>L1</t>
        </is>
      </c>
      <c r="D7" s="46" t="n">
        <v>0.12</v>
      </c>
      <c r="E7" s="46" t="n">
        <v>0.12</v>
      </c>
      <c r="F7" s="47" t="n">
        <v>0.95</v>
      </c>
      <c r="G7" s="46" t="n">
        <v>0.5</v>
      </c>
      <c r="H7" s="48" t="n">
        <v>10</v>
      </c>
      <c r="I7" s="45" t="inlineStr">
        <is>
          <t>3×2,5</t>
        </is>
      </c>
      <c r="J7" s="46" t="n">
        <v>23</v>
      </c>
      <c r="K7" s="46" t="n">
        <v>14</v>
      </c>
      <c r="L7" s="46" t="n">
        <v>0.1</v>
      </c>
      <c r="M7" s="49" t="n">
        <v>0.06</v>
      </c>
      <c r="N7" s="50" t="inlineStr">
        <is>
          <t>UYGUN</t>
        </is>
      </c>
    </row>
    <row r="8">
      <c r="A8" s="43" t="inlineStr">
        <is>
          <t>L4</t>
        </is>
      </c>
      <c r="B8" s="44" t="inlineStr">
        <is>
          <t>Aydınlatma — giriş / banko</t>
        </is>
      </c>
      <c r="C8" s="45" t="inlineStr">
        <is>
          <t>L3</t>
        </is>
      </c>
      <c r="D8" s="46" t="n">
        <v>0.08</v>
      </c>
      <c r="E8" s="46" t="n">
        <v>0.08</v>
      </c>
      <c r="F8" s="47" t="n">
        <v>0.95</v>
      </c>
      <c r="G8" s="46" t="n">
        <v>0.4</v>
      </c>
      <c r="H8" s="48" t="n">
        <v>10</v>
      </c>
      <c r="I8" s="45" t="inlineStr">
        <is>
          <t>3×2,5</t>
        </is>
      </c>
      <c r="J8" s="46" t="n">
        <v>23</v>
      </c>
      <c r="K8" s="46" t="n">
        <v>12</v>
      </c>
      <c r="L8" s="46" t="n">
        <v>0.1</v>
      </c>
      <c r="M8" s="49" t="n">
        <v>0.03</v>
      </c>
      <c r="N8" s="50" t="inlineStr">
        <is>
          <t>UYGUN</t>
        </is>
      </c>
    </row>
    <row r="9">
      <c r="A9" s="43" t="inlineStr">
        <is>
          <t>L5</t>
        </is>
      </c>
      <c r="B9" s="44" t="inlineStr">
        <is>
          <t>Aydınlatma — ıslak hacim (IP44)</t>
        </is>
      </c>
      <c r="C9" s="45" t="inlineStr">
        <is>
          <t>L1</t>
        </is>
      </c>
      <c r="D9" s="46" t="n">
        <v>0.108</v>
      </c>
      <c r="E9" s="46" t="n">
        <v>0.065</v>
      </c>
      <c r="F9" s="47" t="n">
        <v>0.95</v>
      </c>
      <c r="G9" s="46" t="n">
        <v>0.5</v>
      </c>
      <c r="H9" s="48" t="n">
        <v>10</v>
      </c>
      <c r="I9" s="45" t="inlineStr">
        <is>
          <t>3×2,5</t>
        </is>
      </c>
      <c r="J9" s="46" t="n">
        <v>23</v>
      </c>
      <c r="K9" s="46" t="n">
        <v>16.3</v>
      </c>
      <c r="L9" s="46" t="n">
        <v>0.1</v>
      </c>
      <c r="M9" s="49" t="n">
        <v>0.06</v>
      </c>
      <c r="N9" s="50" t="inlineStr">
        <is>
          <t>UYGUN</t>
        </is>
      </c>
    </row>
    <row r="10">
      <c r="A10" s="43" t="inlineStr">
        <is>
          <t>L6</t>
        </is>
      </c>
      <c r="B10" s="44" t="inlineStr">
        <is>
          <t>Acil aydınlatma ve yönlendirme</t>
        </is>
      </c>
      <c r="C10" s="45" t="inlineStr">
        <is>
          <t>L2</t>
        </is>
      </c>
      <c r="D10" s="46" t="n">
        <v>0.064</v>
      </c>
      <c r="E10" s="46" t="n">
        <v>0.064</v>
      </c>
      <c r="F10" s="47" t="n">
        <v>0.95</v>
      </c>
      <c r="G10" s="46" t="n">
        <v>0.3</v>
      </c>
      <c r="H10" s="48" t="n">
        <v>6</v>
      </c>
      <c r="I10" s="45" t="inlineStr">
        <is>
          <t>3×2,5</t>
        </is>
      </c>
      <c r="J10" s="46" t="n">
        <v>23</v>
      </c>
      <c r="K10" s="46" t="n">
        <v>10.1</v>
      </c>
      <c r="L10" s="46" t="n">
        <v>0.1</v>
      </c>
      <c r="M10" s="49" t="n">
        <v>0.02</v>
      </c>
      <c r="N10" s="50" t="inlineStr">
        <is>
          <t>UYGUN</t>
        </is>
      </c>
    </row>
    <row r="11">
      <c r="A11" s="43" t="inlineStr">
        <is>
          <t>P1</t>
        </is>
      </c>
      <c r="B11" s="44" t="inlineStr">
        <is>
          <t>Priz — salon kuzey (PR12–PR16, PR1)</t>
        </is>
      </c>
      <c r="C11" s="45" t="inlineStr">
        <is>
          <t>L1</t>
        </is>
      </c>
      <c r="D11" s="46" t="n">
        <v>0.9</v>
      </c>
      <c r="E11" s="46" t="n">
        <v>0.45</v>
      </c>
      <c r="F11" s="47" t="n">
        <v>0.9</v>
      </c>
      <c r="G11" s="46" t="n">
        <v>4.3</v>
      </c>
      <c r="H11" s="48" t="n">
        <v>16</v>
      </c>
      <c r="I11" s="45" t="inlineStr">
        <is>
          <t>3×2,5</t>
        </is>
      </c>
      <c r="J11" s="46" t="n">
        <v>23</v>
      </c>
      <c r="K11" s="46" t="n">
        <v>7.8</v>
      </c>
      <c r="L11" s="46" t="n">
        <v>0.5</v>
      </c>
      <c r="M11" s="49" t="n">
        <v>0.24</v>
      </c>
      <c r="N11" s="50" t="inlineStr">
        <is>
          <t>UYGUN</t>
        </is>
      </c>
    </row>
    <row r="12">
      <c r="A12" s="43" t="inlineStr">
        <is>
          <t>P2</t>
        </is>
      </c>
      <c r="B12" s="44" t="inlineStr">
        <is>
          <t>Priz — salon güney (PR5–PR9)</t>
        </is>
      </c>
      <c r="C12" s="45" t="inlineStr">
        <is>
          <t>L3</t>
        </is>
      </c>
      <c r="D12" s="46" t="n">
        <v>0.75</v>
      </c>
      <c r="E12" s="46" t="n">
        <v>0.375</v>
      </c>
      <c r="F12" s="47" t="n">
        <v>0.9</v>
      </c>
      <c r="G12" s="46" t="n">
        <v>3.6</v>
      </c>
      <c r="H12" s="48" t="n">
        <v>16</v>
      </c>
      <c r="I12" s="45" t="inlineStr">
        <is>
          <t>3×2,5</t>
        </is>
      </c>
      <c r="J12" s="46" t="n">
        <v>23</v>
      </c>
      <c r="K12" s="46" t="n">
        <v>16.6</v>
      </c>
      <c r="L12" s="46" t="n">
        <v>1</v>
      </c>
      <c r="M12" s="49" t="n">
        <v>0.42</v>
      </c>
      <c r="N12" s="50" t="inlineStr">
        <is>
          <t>UYGUN</t>
        </is>
      </c>
    </row>
    <row r="13">
      <c r="A13" s="43" t="inlineStr">
        <is>
          <t>P6</t>
        </is>
      </c>
      <c r="B13" s="44" t="inlineStr">
        <is>
          <t>Priz — salon batı ve doğu (PR2–PR4, PR10, PR11)</t>
        </is>
      </c>
      <c r="C13" s="45" t="inlineStr">
        <is>
          <t>L1</t>
        </is>
      </c>
      <c r="D13" s="46" t="n">
        <v>0.75</v>
      </c>
      <c r="E13" s="46" t="n">
        <v>0.375</v>
      </c>
      <c r="F13" s="47" t="n">
        <v>0.9</v>
      </c>
      <c r="G13" s="46" t="n">
        <v>3.6</v>
      </c>
      <c r="H13" s="48" t="n">
        <v>16</v>
      </c>
      <c r="I13" s="45" t="inlineStr">
        <is>
          <t>3×2,5</t>
        </is>
      </c>
      <c r="J13" s="46" t="n">
        <v>23</v>
      </c>
      <c r="K13" s="46" t="n">
        <v>10.5</v>
      </c>
      <c r="L13" s="46" t="n">
        <v>0.6</v>
      </c>
      <c r="M13" s="49" t="n">
        <v>0.27</v>
      </c>
      <c r="N13" s="50" t="inlineStr">
        <is>
          <t>UYGUN</t>
        </is>
      </c>
    </row>
    <row r="14">
      <c r="A14" s="43" t="inlineStr">
        <is>
          <t>P3</t>
        </is>
      </c>
      <c r="B14" s="44" t="inlineStr">
        <is>
          <t>Priz — banko, POS, veri</t>
        </is>
      </c>
      <c r="C14" s="45" t="inlineStr">
        <is>
          <t>L2</t>
        </is>
      </c>
      <c r="D14" s="46" t="n">
        <v>1</v>
      </c>
      <c r="E14" s="46" t="n">
        <v>0.7</v>
      </c>
      <c r="F14" s="47" t="n">
        <v>0.9</v>
      </c>
      <c r="G14" s="46" t="n">
        <v>4.8</v>
      </c>
      <c r="H14" s="48" t="n">
        <v>16</v>
      </c>
      <c r="I14" s="45" t="inlineStr">
        <is>
          <t>3×2,5</t>
        </is>
      </c>
      <c r="J14" s="46" t="n">
        <v>23</v>
      </c>
      <c r="K14" s="46" t="n">
        <v>8.699999999999999</v>
      </c>
      <c r="L14" s="46" t="n">
        <v>0.7</v>
      </c>
      <c r="M14" s="49" t="n">
        <v>0.3</v>
      </c>
      <c r="N14" s="50" t="inlineStr">
        <is>
          <t>UYGUN</t>
        </is>
      </c>
    </row>
    <row r="15">
      <c r="A15" s="43" t="inlineStr">
        <is>
          <t>P4</t>
        </is>
      </c>
      <c r="B15" s="44" t="inlineStr">
        <is>
          <t>Priz — kardiyo ekipmanı (ayrı linye)</t>
        </is>
      </c>
      <c r="C15" s="45" t="inlineStr">
        <is>
          <t>L1</t>
        </is>
      </c>
      <c r="D15" s="46" t="n">
        <v>2.4</v>
      </c>
      <c r="E15" s="46" t="n">
        <v>1.92</v>
      </c>
      <c r="F15" s="47" t="n">
        <v>0.9</v>
      </c>
      <c r="G15" s="46" t="n">
        <v>11.6</v>
      </c>
      <c r="H15" s="48" t="n">
        <v>16</v>
      </c>
      <c r="I15" s="45" t="inlineStr">
        <is>
          <t>3×2,5</t>
        </is>
      </c>
      <c r="J15" s="46" t="n">
        <v>23</v>
      </c>
      <c r="K15" s="46" t="n">
        <v>17.2</v>
      </c>
      <c r="L15" s="46" t="n">
        <v>3.2</v>
      </c>
      <c r="M15" s="49" t="n">
        <v>1.4</v>
      </c>
      <c r="N15" s="50" t="inlineStr">
        <is>
          <t>UYGUN</t>
        </is>
      </c>
    </row>
    <row r="16">
      <c r="A16" s="43" t="inlineStr">
        <is>
          <t>P5</t>
        </is>
      </c>
      <c r="B16" s="44" t="inlineStr">
        <is>
          <t>Priz — ıslak hacim IP44 (ayrı kaçak akım)</t>
        </is>
      </c>
      <c r="C16" s="45" t="inlineStr">
        <is>
          <t>L3</t>
        </is>
      </c>
      <c r="D16" s="46" t="n">
        <v>0.5</v>
      </c>
      <c r="E16" s="46" t="n">
        <v>0.15</v>
      </c>
      <c r="F16" s="47" t="n">
        <v>0.9</v>
      </c>
      <c r="G16" s="46" t="n">
        <v>2.4</v>
      </c>
      <c r="H16" s="48" t="n">
        <v>16</v>
      </c>
      <c r="I16" s="45" t="inlineStr">
        <is>
          <t>3×2,5</t>
        </is>
      </c>
      <c r="J16" s="46" t="n">
        <v>23</v>
      </c>
      <c r="K16" s="46" t="n">
        <v>16</v>
      </c>
      <c r="L16" s="46" t="n">
        <v>0.6</v>
      </c>
      <c r="M16" s="49" t="n">
        <v>0.27</v>
      </c>
      <c r="N16" s="50" t="inlineStr">
        <is>
          <t>UYGUN</t>
        </is>
      </c>
    </row>
    <row r="17">
      <c r="A17" s="43" t="inlineStr">
        <is>
          <t>K1</t>
        </is>
      </c>
      <c r="B17" s="44" t="inlineStr">
        <is>
          <t>Klima — arena 24.000 BTU</t>
        </is>
      </c>
      <c r="C17" s="45" t="inlineStr">
        <is>
          <t>L2</t>
        </is>
      </c>
      <c r="D17" s="46" t="n">
        <v>2.2</v>
      </c>
      <c r="E17" s="46" t="n">
        <v>1.87</v>
      </c>
      <c r="F17" s="47" t="n">
        <v>0.85</v>
      </c>
      <c r="G17" s="46" t="n">
        <v>11.3</v>
      </c>
      <c r="H17" s="48" t="n">
        <v>16</v>
      </c>
      <c r="I17" s="45" t="inlineStr">
        <is>
          <t>3×2,5</t>
        </is>
      </c>
      <c r="J17" s="46" t="n">
        <v>23</v>
      </c>
      <c r="K17" s="46" t="n">
        <v>17.7</v>
      </c>
      <c r="L17" s="46" t="n">
        <v>3</v>
      </c>
      <c r="M17" s="49" t="n">
        <v>1.32</v>
      </c>
      <c r="N17" s="50" t="inlineStr">
        <is>
          <t>UYGUN</t>
        </is>
      </c>
    </row>
    <row r="18">
      <c r="A18" s="43" t="inlineStr">
        <is>
          <t>K2</t>
        </is>
      </c>
      <c r="B18" s="44" t="inlineStr">
        <is>
          <t>Klima — fonksiyonel 18.000 BTU</t>
        </is>
      </c>
      <c r="C18" s="45" t="inlineStr">
        <is>
          <t>L2</t>
        </is>
      </c>
      <c r="D18" s="46" t="n">
        <v>1.7</v>
      </c>
      <c r="E18" s="46" t="n">
        <v>1.445</v>
      </c>
      <c r="F18" s="47" t="n">
        <v>0.85</v>
      </c>
      <c r="G18" s="46" t="n">
        <v>8.699999999999999</v>
      </c>
      <c r="H18" s="48" t="n">
        <v>16</v>
      </c>
      <c r="I18" s="45" t="inlineStr">
        <is>
          <t>3×2,5</t>
        </is>
      </c>
      <c r="J18" s="46" t="n">
        <v>23</v>
      </c>
      <c r="K18" s="46" t="n">
        <v>12.7</v>
      </c>
      <c r="L18" s="46" t="n">
        <v>1.7</v>
      </c>
      <c r="M18" s="49" t="n">
        <v>0.73</v>
      </c>
      <c r="N18" s="50" t="inlineStr">
        <is>
          <t>UYGUN</t>
        </is>
      </c>
    </row>
    <row r="19">
      <c r="A19" s="43" t="inlineStr">
        <is>
          <t>K3</t>
        </is>
      </c>
      <c r="B19" s="44" t="inlineStr">
        <is>
          <t>Klima — giriş 12.000 BTU</t>
        </is>
      </c>
      <c r="C19" s="45" t="inlineStr">
        <is>
          <t>L1</t>
        </is>
      </c>
      <c r="D19" s="46" t="n">
        <v>1.15</v>
      </c>
      <c r="E19" s="46" t="n">
        <v>0.977</v>
      </c>
      <c r="F19" s="47" t="n">
        <v>0.85</v>
      </c>
      <c r="G19" s="46" t="n">
        <v>5.9</v>
      </c>
      <c r="H19" s="48" t="n">
        <v>16</v>
      </c>
      <c r="I19" s="45" t="inlineStr">
        <is>
          <t>3×2,5</t>
        </is>
      </c>
      <c r="J19" s="46" t="n">
        <v>23</v>
      </c>
      <c r="K19" s="46" t="n">
        <v>12.2</v>
      </c>
      <c r="L19" s="46" t="n">
        <v>1.1</v>
      </c>
      <c r="M19" s="49" t="n">
        <v>0.48</v>
      </c>
      <c r="N19" s="50" t="inlineStr">
        <is>
          <t>UYGUN</t>
        </is>
      </c>
    </row>
    <row r="20">
      <c r="A20" s="43" t="inlineStr">
        <is>
          <t>K4</t>
        </is>
      </c>
      <c r="B20" s="44" t="inlineStr">
        <is>
          <t>Klima — dinlenme 12.000 BTU</t>
        </is>
      </c>
      <c r="C20" s="45" t="inlineStr">
        <is>
          <t>L1</t>
        </is>
      </c>
      <c r="D20" s="46" t="n">
        <v>1.15</v>
      </c>
      <c r="E20" s="46" t="n">
        <v>0.805</v>
      </c>
      <c r="F20" s="47" t="n">
        <v>0.85</v>
      </c>
      <c r="G20" s="46" t="n">
        <v>5.9</v>
      </c>
      <c r="H20" s="48" t="n">
        <v>16</v>
      </c>
      <c r="I20" s="45" t="inlineStr">
        <is>
          <t>3×2,5</t>
        </is>
      </c>
      <c r="J20" s="46" t="n">
        <v>23</v>
      </c>
      <c r="K20" s="46" t="n">
        <v>14.8</v>
      </c>
      <c r="L20" s="46" t="n">
        <v>1.3</v>
      </c>
      <c r="M20" s="49" t="n">
        <v>0.58</v>
      </c>
      <c r="N20" s="50" t="inlineStr">
        <is>
          <t>UYGUN</t>
        </is>
      </c>
    </row>
    <row r="21">
      <c r="A21" s="43" t="inlineStr">
        <is>
          <t>W1</t>
        </is>
      </c>
      <c r="B21" s="44" t="inlineStr">
        <is>
          <t>Su ısıtıcı — erkek bloğu, boyler 3 kW</t>
        </is>
      </c>
      <c r="C21" s="45" t="inlineStr">
        <is>
          <t>L3</t>
        </is>
      </c>
      <c r="D21" s="46" t="n">
        <v>3</v>
      </c>
      <c r="E21" s="46" t="n">
        <v>1.8</v>
      </c>
      <c r="F21" s="47" t="n">
        <v>1</v>
      </c>
      <c r="G21" s="46" t="n">
        <v>13</v>
      </c>
      <c r="H21" s="48" t="n">
        <v>20</v>
      </c>
      <c r="I21" s="45" t="inlineStr">
        <is>
          <t>3×2,5</t>
        </is>
      </c>
      <c r="J21" s="46" t="n">
        <v>23</v>
      </c>
      <c r="K21" s="46" t="n">
        <v>16.3</v>
      </c>
      <c r="L21" s="46" t="n">
        <v>3.8</v>
      </c>
      <c r="M21" s="49" t="n">
        <v>1.66</v>
      </c>
      <c r="N21" s="50" t="inlineStr">
        <is>
          <t>UYGUN</t>
        </is>
      </c>
    </row>
    <row r="22">
      <c r="A22" s="43" t="inlineStr">
        <is>
          <t>W2</t>
        </is>
      </c>
      <c r="B22" s="44" t="inlineStr">
        <is>
          <t>Su ısıtıcı — kadın bloğu, boyler 3 kW</t>
        </is>
      </c>
      <c r="C22" s="45" t="inlineStr">
        <is>
          <t>L3</t>
        </is>
      </c>
      <c r="D22" s="46" t="n">
        <v>3</v>
      </c>
      <c r="E22" s="46" t="n">
        <v>1.8</v>
      </c>
      <c r="F22" s="47" t="n">
        <v>1</v>
      </c>
      <c r="G22" s="46" t="n">
        <v>13</v>
      </c>
      <c r="H22" s="48" t="n">
        <v>20</v>
      </c>
      <c r="I22" s="45" t="inlineStr">
        <is>
          <t>3×2,5</t>
        </is>
      </c>
      <c r="J22" s="46" t="n">
        <v>23</v>
      </c>
      <c r="K22" s="46" t="n">
        <v>19.3</v>
      </c>
      <c r="L22" s="46" t="n">
        <v>4.5</v>
      </c>
      <c r="M22" s="49" t="n">
        <v>1.97</v>
      </c>
      <c r="N22" s="50" t="inlineStr">
        <is>
          <t>UYGUN</t>
        </is>
      </c>
    </row>
    <row r="23">
      <c r="A23" s="43" t="inlineStr">
        <is>
          <t>V1</t>
        </is>
      </c>
      <c r="B23" s="44" t="inlineStr">
        <is>
          <t>Havalandırma — taze hava + egzoz fanı</t>
        </is>
      </c>
      <c r="C23" s="45" t="inlineStr">
        <is>
          <t>L2</t>
        </is>
      </c>
      <c r="D23" s="46" t="n">
        <v>0.45</v>
      </c>
      <c r="E23" s="46" t="n">
        <v>0.45</v>
      </c>
      <c r="F23" s="47" t="n">
        <v>0.85</v>
      </c>
      <c r="G23" s="46" t="n">
        <v>2.3</v>
      </c>
      <c r="H23" s="48" t="n">
        <v>10</v>
      </c>
      <c r="I23" s="45" t="inlineStr">
        <is>
          <t>3×2,5</t>
        </is>
      </c>
      <c r="J23" s="46" t="n">
        <v>23</v>
      </c>
      <c r="K23" s="46" t="n">
        <v>13.8</v>
      </c>
      <c r="L23" s="46" t="n">
        <v>0.5</v>
      </c>
      <c r="M23" s="49" t="n">
        <v>0.21</v>
      </c>
      <c r="N23" s="50" t="inlineStr">
        <is>
          <t>UYGUN</t>
        </is>
      </c>
    </row>
    <row r="24">
      <c r="A24" s="43" t="inlineStr">
        <is>
          <t>V2</t>
        </is>
      </c>
      <c r="B24" s="44" t="inlineStr">
        <is>
          <t>Islak hacim egzoz fanı</t>
        </is>
      </c>
      <c r="C24" s="45" t="inlineStr">
        <is>
          <t>L2</t>
        </is>
      </c>
      <c r="D24" s="46" t="n">
        <v>0.12</v>
      </c>
      <c r="E24" s="46" t="n">
        <v>0.096</v>
      </c>
      <c r="F24" s="47" t="n">
        <v>0.85</v>
      </c>
      <c r="G24" s="46" t="n">
        <v>0.6</v>
      </c>
      <c r="H24" s="48" t="n">
        <v>6</v>
      </c>
      <c r="I24" s="45" t="inlineStr">
        <is>
          <t>3×2,5</t>
        </is>
      </c>
      <c r="J24" s="46" t="n">
        <v>23</v>
      </c>
      <c r="K24" s="46" t="n">
        <v>16.5</v>
      </c>
      <c r="L24" s="46" t="n">
        <v>0.2</v>
      </c>
      <c r="M24" s="49" t="n">
        <v>0.07000000000000001</v>
      </c>
      <c r="N24" s="50" t="inlineStr">
        <is>
          <t>UYGUN</t>
        </is>
      </c>
    </row>
    <row r="25">
      <c r="A25" s="43" t="inlineStr">
        <is>
          <t>Z1</t>
        </is>
      </c>
      <c r="B25" s="44" t="inlineStr">
        <is>
          <t>Zayıf akım — rack, CCTV, ses, geçiş kontrol</t>
        </is>
      </c>
      <c r="C25" s="45" t="inlineStr">
        <is>
          <t>L3</t>
        </is>
      </c>
      <c r="D25" s="46" t="n">
        <v>0.6</v>
      </c>
      <c r="E25" s="46" t="n">
        <v>0.54</v>
      </c>
      <c r="F25" s="47" t="n">
        <v>0.9</v>
      </c>
      <c r="G25" s="46" t="n">
        <v>2.9</v>
      </c>
      <c r="H25" s="48" t="n">
        <v>10</v>
      </c>
      <c r="I25" s="45" t="inlineStr">
        <is>
          <t>3×2,5</t>
        </is>
      </c>
      <c r="J25" s="46" t="n">
        <v>23</v>
      </c>
      <c r="K25" s="46" t="n">
        <v>8.9</v>
      </c>
      <c r="L25" s="46" t="n">
        <v>0.4</v>
      </c>
      <c r="M25" s="49" t="n">
        <v>0.18</v>
      </c>
      <c r="N25" s="50" t="inlineStr">
        <is>
          <t>UYGUN</t>
        </is>
      </c>
    </row>
    <row r="26">
      <c r="A26" s="43" t="inlineStr">
        <is>
          <t>Z2</t>
        </is>
      </c>
      <c r="B26" s="44" t="inlineStr">
        <is>
          <t>Yangın algılama paneli (kesintisiz)</t>
        </is>
      </c>
      <c r="C26" s="45" t="inlineStr">
        <is>
          <t>L1</t>
        </is>
      </c>
      <c r="D26" s="46" t="n">
        <v>0.15</v>
      </c>
      <c r="E26" s="46" t="n">
        <v>0.15</v>
      </c>
      <c r="F26" s="47" t="n">
        <v>0.9</v>
      </c>
      <c r="G26" s="46" t="n">
        <v>0.7</v>
      </c>
      <c r="H26" s="48" t="n">
        <v>6</v>
      </c>
      <c r="I26" s="45" t="inlineStr">
        <is>
          <t>3×2,5</t>
        </is>
      </c>
      <c r="J26" s="46" t="n">
        <v>23</v>
      </c>
      <c r="K26" s="46" t="n">
        <v>9.6</v>
      </c>
      <c r="L26" s="46" t="n">
        <v>0.1</v>
      </c>
      <c r="M26" s="49" t="n">
        <v>0.05</v>
      </c>
      <c r="N26" s="50" t="inlineStr">
        <is>
          <t>UYGUN</t>
        </is>
      </c>
    </row>
    <row r="27">
      <c r="A27" s="31" t="inlineStr">
        <is>
          <t>TOPLAM</t>
        </is>
      </c>
      <c r="D27" s="51">
        <f>SUM(D5:D26)</f>
        <v/>
      </c>
      <c r="E27" s="51">
        <f>SUM(E5:E26)</f>
        <v/>
      </c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51">
        <f>MAX(M5:M26)</f>
        <v/>
      </c>
      <c r="N27" s="52" t="inlineStr">
        <is>
          <t>maks ΔU</t>
        </is>
      </c>
    </row>
    <row r="29" ht="30" customHeight="1">
      <c r="A29" s="53" t="inlineStr">
        <is>
          <t>Ana besleme: NYY 5×10 mm², 25 m, Ib = 23,0 A, In = 3×32 A, ΔU = %0,52. En uzak tüketicide toplam gerilim düşümü %2,49 — TS HD 60364-5-52'nin %5 sınırının altındadır. Faz dengesizliği %1,0.</t>
        </is>
      </c>
    </row>
  </sheetData>
  <mergeCells count="4">
    <mergeCell ref="A29:N29"/>
    <mergeCell ref="A27:C27"/>
    <mergeCell ref="A2:N2"/>
    <mergeCell ref="A1:N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2026-09-19T20:26:32Z</dcterms:created>
  <dcterms:modified xsi:type="dcterms:W3CDTF">2026-09-19T20:26:32Z</dcterms:modified>
</cp:coreProperties>
</file>