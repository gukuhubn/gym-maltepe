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Özet" sheetId="1" state="visible" r:id="rId1"/>
    <sheet name="2 · Detay metraj" sheetId="2" state="visible" r:id="rId2"/>
    <sheet name="3 · Sistem verileri" sheetId="3" state="visible" r:id="rId3"/>
    <sheet name="4 · Varsayımlar" sheetId="4" state="visible" r:id="rId4"/>
  </sheets>
  <definedNames>
    <definedName name="_xlnm._FilterDatabase" localSheetId="1" hidden="1">'2 · Detay metraj'!$A$3:$I$39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TL&quot;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6B7078"/>
      <sz val="9"/>
    </font>
    <font>
      <name val="Calibri"/>
      <b val="1"/>
      <color rgb="FFFFFFFF"/>
      <sz val="10"/>
    </font>
    <font>
      <name val="Calibri"/>
      <b val="1"/>
      <color rgb="FF16273D"/>
      <sz val="9"/>
    </font>
    <font>
      <name val="Calibri"/>
      <color rgb="FF1C1C1C"/>
      <sz val="9"/>
    </font>
    <font>
      <name val="Calibri"/>
      <color rgb="FF16273D"/>
      <sz val="10"/>
    </font>
    <font>
      <name val="Calibri"/>
      <color rgb="FF8A8F98"/>
      <sz val="9"/>
    </font>
    <font>
      <name val="Calibri"/>
      <b val="1"/>
      <color rgb="FFFFFFFF"/>
      <sz val="11"/>
    </font>
    <font>
      <name val="Calibri"/>
      <color rgb="FFFFFFFF"/>
      <sz val="10"/>
    </font>
    <font>
      <name val="Calibri"/>
      <b val="1"/>
      <color rgb="FF16273D"/>
      <sz val="10"/>
    </font>
    <font>
      <name val="Calibri"/>
      <color rgb="FF1C1C1C"/>
      <sz val="10"/>
    </font>
    <font>
      <name val="Calibri"/>
      <color rgb="FF8A8F98"/>
      <sz val="10"/>
    </font>
    <font>
      <name val="Calibri"/>
      <color rgb="FF6B7078"/>
      <sz val="10"/>
    </font>
    <font>
      <name val="Calibri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24405F"/>
      </patternFill>
    </fill>
    <fill>
      <patternFill patternType="solid">
        <fgColor rgb="FFFFF6E8"/>
      </patternFill>
    </fill>
    <fill>
      <patternFill patternType="solid">
        <fgColor rgb="FFFFFFFF"/>
      </patternFill>
    </fill>
    <fill>
      <patternFill patternType="solid">
        <fgColor rgb="FFB87333"/>
      </patternFill>
    </fill>
    <fill>
      <patternFill patternType="solid">
        <fgColor rgb="FFFDF3EC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right" vertical="center"/>
    </xf>
    <xf numFmtId="164" fontId="12" fillId="3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164" fontId="11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164" fontId="14" fillId="7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  <col width="11" customWidth="1" min="5" max="5"/>
  </cols>
  <sheetData>
    <row r="1">
      <c r="A1" s="1" t="inlineStr">
        <is>
          <t>ELEKTRIK — MALİYET ÖZETİ</t>
        </is>
      </c>
    </row>
    <row r="2">
      <c r="A2" s="2" t="inlineStr">
        <is>
          <t>Rev H · 17 Eylül 2026 · Eylül 2026 · Aqua Florya / Saltbae kesin hakedişi (Mayıs 2025) birim fiyatları ×1,40 eskalasyonla · Ekipman işverence temin edilmiştir, bütçe dışıdır.</t>
        </is>
      </c>
    </row>
    <row r="4">
      <c r="A4" s="3" t="inlineStr">
        <is>
          <t>Sistem</t>
        </is>
      </c>
      <c r="B4" s="3" t="inlineStr">
        <is>
          <t>Teklif tutarı (TL)</t>
        </is>
      </c>
      <c r="C4" s="3" t="inlineStr">
        <is>
          <t>Referans düşük (TL)</t>
        </is>
      </c>
      <c r="D4" s="3" t="inlineStr">
        <is>
          <t>Referans yüksek (TL)</t>
        </is>
      </c>
      <c r="E4" s="3" t="inlineStr">
        <is>
          <t>Poz adedi</t>
        </is>
      </c>
    </row>
    <row r="5">
      <c r="A5" s="4" t="inlineStr">
        <is>
          <t>Ana dağıtım</t>
        </is>
      </c>
      <c r="B5" s="5">
        <f>'2 · Detay metraj'!G4+'2 · Detay metraj'!G5+'2 · Detay metraj'!G6+'2 · Detay metraj'!G7+'2 · Detay metraj'!G8+'2 · Detay metraj'!G9+'2 · Detay metraj'!G10</f>
        <v/>
      </c>
      <c r="C5" s="6">
        <f>'2 · Detay metraj'!H4+'2 · Detay metraj'!H5+'2 · Detay metraj'!H6+'2 · Detay metraj'!H7+'2 · Detay metraj'!H8+'2 · Detay metraj'!H9+'2 · Detay metraj'!H10</f>
        <v/>
      </c>
      <c r="D5" s="6">
        <f>'2 · Detay metraj'!I4+'2 · Detay metraj'!I5+'2 · Detay metraj'!I6+'2 · Detay metraj'!I7+'2 · Detay metraj'!I8+'2 · Detay metraj'!I9+'2 · Detay metraj'!I10</f>
        <v/>
      </c>
      <c r="E5" s="7" t="n">
        <v>7</v>
      </c>
    </row>
    <row r="6">
      <c r="A6" s="8" t="inlineStr">
        <is>
          <t>Aydınlatma</t>
        </is>
      </c>
      <c r="B6" s="9">
        <f>'2 · Detay metraj'!G11+'2 · Detay metraj'!G12+'2 · Detay metraj'!G13+'2 · Detay metraj'!G14+'2 · Detay metraj'!G15+'2 · Detay metraj'!G16+'2 · Detay metraj'!G17</f>
        <v/>
      </c>
      <c r="C6" s="10">
        <f>'2 · Detay metraj'!H11+'2 · Detay metraj'!H12+'2 · Detay metraj'!H13+'2 · Detay metraj'!H14+'2 · Detay metraj'!H15+'2 · Detay metraj'!H16+'2 · Detay metraj'!H17</f>
        <v/>
      </c>
      <c r="D6" s="10">
        <f>'2 · Detay metraj'!I11+'2 · Detay metraj'!I12+'2 · Detay metraj'!I13+'2 · Detay metraj'!I14+'2 · Detay metraj'!I15+'2 · Detay metraj'!I16+'2 · Detay metraj'!I17</f>
        <v/>
      </c>
      <c r="E6" s="11" t="n">
        <v>7</v>
      </c>
    </row>
    <row r="7">
      <c r="A7" s="4" t="inlineStr">
        <is>
          <t>Priz ve kuvvet</t>
        </is>
      </c>
      <c r="B7" s="5">
        <f>'2 · Detay metraj'!G18+'2 · Detay metraj'!G19+'2 · Detay metraj'!G20+'2 · Detay metraj'!G21+'2 · Detay metraj'!G22+'2 · Detay metraj'!G23+'2 · Detay metraj'!G24</f>
        <v/>
      </c>
      <c r="C7" s="6">
        <f>'2 · Detay metraj'!H18+'2 · Detay metraj'!H19+'2 · Detay metraj'!H20+'2 · Detay metraj'!H21+'2 · Detay metraj'!H22+'2 · Detay metraj'!H23+'2 · Detay metraj'!H24</f>
        <v/>
      </c>
      <c r="D7" s="6">
        <f>'2 · Detay metraj'!I18+'2 · Detay metraj'!I19+'2 · Detay metraj'!I20+'2 · Detay metraj'!I21+'2 · Detay metraj'!I22+'2 · Detay metraj'!I23+'2 · Detay metraj'!I24</f>
        <v/>
      </c>
      <c r="E7" s="7" t="n">
        <v>7</v>
      </c>
    </row>
    <row r="8">
      <c r="A8" s="8" t="inlineStr">
        <is>
          <t>Zayıf akım</t>
        </is>
      </c>
      <c r="B8" s="9">
        <f>'2 · Detay metraj'!G25+'2 · Detay metraj'!G26+'2 · Detay metraj'!G27+'2 · Detay metraj'!G28+'2 · Detay metraj'!G29+'2 · Detay metraj'!G30+'2 · Detay metraj'!G31+'2 · Detay metraj'!G32+'2 · Detay metraj'!G33+'2 · Detay metraj'!G34+'2 · Detay metraj'!G35</f>
        <v/>
      </c>
      <c r="C8" s="10">
        <f>'2 · Detay metraj'!H25+'2 · Detay metraj'!H26+'2 · Detay metraj'!H27+'2 · Detay metraj'!H28+'2 · Detay metraj'!H29+'2 · Detay metraj'!H30+'2 · Detay metraj'!H31+'2 · Detay metraj'!H32+'2 · Detay metraj'!H33+'2 · Detay metraj'!H34+'2 · Detay metraj'!H35</f>
        <v/>
      </c>
      <c r="D8" s="10">
        <f>'2 · Detay metraj'!I25+'2 · Detay metraj'!I26+'2 · Detay metraj'!I27+'2 · Detay metraj'!I28+'2 · Detay metraj'!I29+'2 · Detay metraj'!I30+'2 · Detay metraj'!I31+'2 · Detay metraj'!I32+'2 · Detay metraj'!I33+'2 · Detay metraj'!I34+'2 · Detay metraj'!I35</f>
        <v/>
      </c>
      <c r="E8" s="11" t="n">
        <v>11</v>
      </c>
    </row>
    <row r="9">
      <c r="A9" s="4" t="inlineStr">
        <is>
          <t>Topraklama</t>
        </is>
      </c>
      <c r="B9" s="5">
        <f>'2 · Detay metraj'!G36+'2 · Detay metraj'!G37+'2 · Detay metraj'!G38+'2 · Detay metraj'!G39</f>
        <v/>
      </c>
      <c r="C9" s="6">
        <f>'2 · Detay metraj'!H36+'2 · Detay metraj'!H37+'2 · Detay metraj'!H38+'2 · Detay metraj'!H39</f>
        <v/>
      </c>
      <c r="D9" s="6">
        <f>'2 · Detay metraj'!I36+'2 · Detay metraj'!I37+'2 · Detay metraj'!I38+'2 · Detay metraj'!I39</f>
        <v/>
      </c>
      <c r="E9" s="7" t="n">
        <v>4</v>
      </c>
    </row>
    <row r="10">
      <c r="A10" s="12" t="inlineStr">
        <is>
          <t>ELEKTRIK İMALAT TOPLAMI</t>
        </is>
      </c>
      <c r="B10" s="13">
        <f>SUM(B5:B9)</f>
        <v/>
      </c>
      <c r="C10" s="13">
        <f>SUM(C5:C9)</f>
        <v/>
      </c>
      <c r="D10" s="13">
        <f>SUM(D5:D9)</f>
        <v/>
      </c>
      <c r="E10" s="14" t="n">
        <v>36</v>
      </c>
    </row>
    <row r="12">
      <c r="A12" s="4" t="inlineStr">
        <is>
          <t>m² başına (net iç alan 103,78 m²)</t>
        </is>
      </c>
      <c r="B12" s="5">
        <f>B10/103.78</f>
        <v/>
      </c>
      <c r="C12" s="5">
        <f>C10/103.78</f>
        <v/>
      </c>
      <c r="D12" s="5">
        <f>D10/103.78</f>
        <v/>
      </c>
      <c r="E12" s="15" t="n"/>
    </row>
    <row r="14">
      <c r="A14" s="16" t="inlineStr">
        <is>
          <t>ANA DOSYA İLE İLİŞKİ</t>
        </is>
      </c>
      <c r="B14" s="16" t="n"/>
      <c r="C14" s="16" t="n"/>
      <c r="D14" s="16" t="n"/>
      <c r="E14" s="16" t="n"/>
    </row>
    <row r="15">
      <c r="A15" s="17" t="inlineStr">
        <is>
          <t>Bu dosyadaki pozlar, ana BoQ'daki 'ELEKTRİK' grubunun birebir aynısıdır.</t>
        </is>
      </c>
      <c r="B15" s="17" t="n"/>
      <c r="C15" s="17" t="n"/>
      <c r="D15" s="17" t="n"/>
      <c r="E15" s="17" t="n"/>
    </row>
    <row r="16">
      <c r="A16" s="17" t="inlineStr">
        <is>
          <t>Ana dosya: output/Gym_Maliyet_BoQ.xlsx — 2 · Detay metraj sayfası</t>
        </is>
      </c>
      <c r="B16" s="17" t="n"/>
      <c r="C16" s="17" t="n"/>
      <c r="D16" s="17" t="n"/>
      <c r="E16" s="17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56" customWidth="1" min="3" max="3"/>
    <col width="8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ELEKTRIK — DETAY METRAJ VE KEŞİF</t>
        </is>
      </c>
    </row>
    <row r="2">
      <c r="A2" s="2" t="inlineStr">
        <is>
          <t>MALTEPE / İDEALTEPE — MOBİLYA MAĞAZASI → FONKSİYONEL ANTRENMAN STÜDYOSU · Rev H · 17 Eylül 2026 · Fiyat referansı: Eylül 2026 · Aqua Florya / Saltbae kesin hakedişi (Mayıs 2025) birim fiyatları ×1,40 eskalasyonla · Birim fiyat sütununu (F) doldurun, tutarlar kendiliğinden hesaplanır</t>
        </is>
      </c>
    </row>
    <row r="3">
      <c r="A3" s="3" t="inlineStr">
        <is>
          <t>Poz No</t>
        </is>
      </c>
      <c r="B3" s="3" t="inlineStr">
        <is>
          <t>Sistem</t>
        </is>
      </c>
      <c r="C3" s="3" t="inlineStr">
        <is>
          <t>Tanım</t>
        </is>
      </c>
      <c r="D3" s="3" t="inlineStr">
        <is>
          <t>Birim</t>
        </is>
      </c>
      <c r="E3" s="3" t="inlineStr">
        <is>
          <t>Miktar</t>
        </is>
      </c>
      <c r="F3" s="3" t="inlineStr">
        <is>
          <t>Birim fiyat (TL)</t>
        </is>
      </c>
      <c r="G3" s="3" t="inlineStr">
        <is>
          <t>Tutar (TL)</t>
        </is>
      </c>
      <c r="H3" s="3" t="inlineStr">
        <is>
          <t>Referans düşük (TL)</t>
        </is>
      </c>
      <c r="I3" s="3" t="inlineStr">
        <is>
          <t>Referans yüksek (TL)</t>
        </is>
      </c>
    </row>
    <row r="4">
      <c r="A4" s="18" t="inlineStr">
        <is>
          <t>05.01</t>
        </is>
      </c>
      <c r="B4" s="2" t="inlineStr">
        <is>
          <t>Ana dağıtım</t>
        </is>
      </c>
      <c r="C4" s="19" t="inlineStr">
        <is>
          <t>Ana dağıtım panosu — sıva üstü metal, 36 modül, montajlı</t>
        </is>
      </c>
      <c r="D4" s="20" t="inlineStr">
        <is>
          <t>adet</t>
        </is>
      </c>
      <c r="E4" s="21" t="n">
        <v>1</v>
      </c>
      <c r="F4" s="22" t="n"/>
      <c r="G4" s="23">
        <f>E4*F4*1</f>
        <v/>
      </c>
      <c r="H4" s="24" t="n">
        <v>22000</v>
      </c>
      <c r="I4" s="24" t="n">
        <v>37000</v>
      </c>
    </row>
    <row r="5">
      <c r="A5" s="25" t="inlineStr">
        <is>
          <t>05.02</t>
        </is>
      </c>
      <c r="B5" s="26" t="inlineStr">
        <is>
          <t>Ana dağıtım</t>
        </is>
      </c>
      <c r="C5" s="27" t="inlineStr">
        <is>
          <t>Ana kesici 3×40 A, C eğrisi</t>
        </is>
      </c>
      <c r="D5" s="28" t="inlineStr">
        <is>
          <t>adet</t>
        </is>
      </c>
      <c r="E5" s="29" t="n">
        <v>1</v>
      </c>
      <c r="F5" s="22" t="n"/>
      <c r="G5" s="30">
        <f>E5*F5*1</f>
        <v/>
      </c>
      <c r="H5" s="31" t="n">
        <v>3200</v>
      </c>
      <c r="I5" s="31" t="n">
        <v>5400</v>
      </c>
    </row>
    <row r="6">
      <c r="A6" s="18" t="inlineStr">
        <is>
          <t>05.03</t>
        </is>
      </c>
      <c r="B6" s="2" t="inlineStr">
        <is>
          <t>Ana dağıtım</t>
        </is>
      </c>
      <c r="C6" s="19" t="inlineStr">
        <is>
          <t>Kaçak akım rölesi 4×40 A / 30 mA (genel + ıslak hacim ayrı)</t>
        </is>
      </c>
      <c r="D6" s="20" t="inlineStr">
        <is>
          <t>adet</t>
        </is>
      </c>
      <c r="E6" s="21" t="n">
        <v>2</v>
      </c>
      <c r="F6" s="22" t="n"/>
      <c r="G6" s="23">
        <f>E6*F6*1</f>
        <v/>
      </c>
      <c r="H6" s="24" t="n">
        <v>8400</v>
      </c>
      <c r="I6" s="24" t="n">
        <v>14000</v>
      </c>
    </row>
    <row r="7">
      <c r="A7" s="25" t="inlineStr">
        <is>
          <t>05.04</t>
        </is>
      </c>
      <c r="B7" s="26" t="inlineStr">
        <is>
          <t>Ana dağıtım</t>
        </is>
      </c>
      <c r="C7" s="27" t="inlineStr">
        <is>
          <t>Otomatik sigorta (1×6 / 1×10 / 1×16 / 1×32 A)</t>
        </is>
      </c>
      <c r="D7" s="28" t="inlineStr">
        <is>
          <t>adet</t>
        </is>
      </c>
      <c r="E7" s="29" t="n">
        <v>22</v>
      </c>
      <c r="F7" s="22" t="n"/>
      <c r="G7" s="30">
        <f>E7*F7*1</f>
        <v/>
      </c>
      <c r="H7" s="31" t="n">
        <v>13640</v>
      </c>
      <c r="I7" s="31" t="n">
        <v>23100</v>
      </c>
    </row>
    <row r="8">
      <c r="A8" s="18" t="inlineStr">
        <is>
          <t>05.05</t>
        </is>
      </c>
      <c r="B8" s="2" t="inlineStr">
        <is>
          <t>Ana dağıtım</t>
        </is>
      </c>
      <c r="C8" s="19" t="inlineStr">
        <is>
          <t>Parafudr Tip 2 (aşırı gerilim koruma)</t>
        </is>
      </c>
      <c r="D8" s="20" t="inlineStr">
        <is>
          <t>adet</t>
        </is>
      </c>
      <c r="E8" s="21" t="n">
        <v>1</v>
      </c>
      <c r="F8" s="22" t="n"/>
      <c r="G8" s="23">
        <f>E8*F8*1</f>
        <v/>
      </c>
      <c r="H8" s="24" t="n">
        <v>6800</v>
      </c>
      <c r="I8" s="24" t="n">
        <v>11500</v>
      </c>
    </row>
    <row r="9">
      <c r="A9" s="25" t="inlineStr">
        <is>
          <t>05.06</t>
        </is>
      </c>
      <c r="B9" s="26" t="inlineStr">
        <is>
          <t>Ana dağıtım</t>
        </is>
      </c>
      <c r="C9" s="27" t="inlineStr">
        <is>
          <t>NYY kolon hattı 5×10 mm² — sayaçtan panoya</t>
        </is>
      </c>
      <c r="D9" s="28" t="inlineStr">
        <is>
          <t>m</t>
        </is>
      </c>
      <c r="E9" s="29" t="n">
        <v>22</v>
      </c>
      <c r="F9" s="22" t="n"/>
      <c r="G9" s="30">
        <f>E9*F9*1</f>
        <v/>
      </c>
      <c r="H9" s="31" t="n">
        <v>17160</v>
      </c>
      <c r="I9" s="31" t="n">
        <v>28600</v>
      </c>
    </row>
    <row r="10">
      <c r="A10" s="18" t="inlineStr">
        <is>
          <t>05.07</t>
        </is>
      </c>
      <c r="B10" s="2" t="inlineStr">
        <is>
          <t>Ana dağıtım</t>
        </is>
      </c>
      <c r="C10" s="19" t="inlineStr">
        <is>
          <t>Pano etiketleme, tek hat şeması çerçevesi ve fonksiyon testi</t>
        </is>
      </c>
      <c r="D10" s="20" t="inlineStr">
        <is>
          <t>götürü</t>
        </is>
      </c>
      <c r="E10" s="21" t="n">
        <v>1</v>
      </c>
      <c r="F10" s="22" t="n"/>
      <c r="G10" s="23">
        <f>E10*F10*1</f>
        <v/>
      </c>
      <c r="H10" s="24" t="n">
        <v>6500</v>
      </c>
      <c r="I10" s="24" t="n">
        <v>11000</v>
      </c>
    </row>
    <row r="11">
      <c r="A11" s="25" t="inlineStr">
        <is>
          <t>05.10</t>
        </is>
      </c>
      <c r="B11" s="26" t="inlineStr">
        <is>
          <t>Aydınlatma</t>
        </is>
      </c>
      <c r="C11" s="27" t="inlineStr">
        <is>
          <t>Lineer LED armatür 40 W / 4400 lm, 1.200 mm (montaj dahil)</t>
        </is>
      </c>
      <c r="D11" s="28" t="inlineStr">
        <is>
          <t>adet</t>
        </is>
      </c>
      <c r="E11" s="29" t="n">
        <v>15</v>
      </c>
      <c r="F11" s="22" t="n"/>
      <c r="G11" s="30">
        <f>E11*F11*1</f>
        <v/>
      </c>
      <c r="H11" s="31" t="n">
        <v>21000</v>
      </c>
      <c r="I11" s="31" t="n">
        <v>39000</v>
      </c>
    </row>
    <row r="12">
      <c r="A12" s="18" t="inlineStr">
        <is>
          <t>05.11</t>
        </is>
      </c>
      <c r="B12" s="2" t="inlineStr">
        <is>
          <t>Aydınlatma</t>
        </is>
      </c>
      <c r="C12" s="19" t="inlineStr">
        <is>
          <t>IP44 downlight 18 W / 1800 lm — ıslak hacim ve soyunma</t>
        </is>
      </c>
      <c r="D12" s="20" t="inlineStr">
        <is>
          <t>adet</t>
        </is>
      </c>
      <c r="E12" s="21" t="n">
        <v>6</v>
      </c>
      <c r="F12" s="22" t="n"/>
      <c r="G12" s="23">
        <f>E12*F12*1</f>
        <v/>
      </c>
      <c r="H12" s="24" t="n">
        <v>5100</v>
      </c>
      <c r="I12" s="24" t="n">
        <v>9300</v>
      </c>
    </row>
    <row r="13">
      <c r="A13" s="25" t="inlineStr">
        <is>
          <t>05.12</t>
        </is>
      </c>
      <c r="B13" s="26" t="inlineStr">
        <is>
          <t>Aydınlatma</t>
        </is>
      </c>
      <c r="C13" s="27" t="inlineStr">
        <is>
          <t>Acil aydınlatma armatürü — 3 saat bataryalı</t>
        </is>
      </c>
      <c r="D13" s="28" t="inlineStr">
        <is>
          <t>adet</t>
        </is>
      </c>
      <c r="E13" s="29" t="n">
        <v>5</v>
      </c>
      <c r="F13" s="22" t="n"/>
      <c r="G13" s="30">
        <f>E13*F13*1</f>
        <v/>
      </c>
      <c r="H13" s="31" t="n">
        <v>6250</v>
      </c>
      <c r="I13" s="31" t="n">
        <v>11000</v>
      </c>
    </row>
    <row r="14">
      <c r="A14" s="18" t="inlineStr">
        <is>
          <t>05.13</t>
        </is>
      </c>
      <c r="B14" s="2" t="inlineStr">
        <is>
          <t>Aydınlatma</t>
        </is>
      </c>
      <c r="C14" s="19" t="inlineStr">
        <is>
          <t>Acil çıkış yönlendirme armatürü</t>
        </is>
      </c>
      <c r="D14" s="20" t="inlineStr">
        <is>
          <t>adet</t>
        </is>
      </c>
      <c r="E14" s="21" t="n">
        <v>3</v>
      </c>
      <c r="F14" s="22" t="n"/>
      <c r="G14" s="23">
        <f>E14*F14*1</f>
        <v/>
      </c>
      <c r="H14" s="24" t="n">
        <v>3450</v>
      </c>
      <c r="I14" s="24" t="n">
        <v>5850</v>
      </c>
    </row>
    <row r="15">
      <c r="A15" s="25" t="inlineStr">
        <is>
          <t>05.14</t>
        </is>
      </c>
      <c r="B15" s="26" t="inlineStr">
        <is>
          <t>Aydınlatma</t>
        </is>
      </c>
      <c r="C15" s="27" t="inlineStr">
        <is>
          <t>Aydınlatma linyesi NHXMH 3×1,5 mm² — spiral boru ve işçilik dâhil</t>
        </is>
      </c>
      <c r="D15" s="28" t="inlineStr">
        <is>
          <t>m</t>
        </is>
      </c>
      <c r="E15" s="29" t="n">
        <v>42</v>
      </c>
      <c r="F15" s="22" t="n"/>
      <c r="G15" s="30">
        <f>E15*F15*1</f>
        <v/>
      </c>
      <c r="H15" s="31" t="n">
        <v>4620</v>
      </c>
      <c r="I15" s="31" t="n">
        <v>7770</v>
      </c>
    </row>
    <row r="16">
      <c r="A16" s="18" t="inlineStr">
        <is>
          <t>05.15</t>
        </is>
      </c>
      <c r="B16" s="2" t="inlineStr">
        <is>
          <t>Aydınlatma</t>
        </is>
      </c>
      <c r="C16" s="19" t="inlineStr">
        <is>
          <t>Anahtar / komütatör / vaviyen — sıva altı</t>
        </is>
      </c>
      <c r="D16" s="20" t="inlineStr">
        <is>
          <t>adet</t>
        </is>
      </c>
      <c r="E16" s="21" t="n">
        <v>7</v>
      </c>
      <c r="F16" s="22" t="n"/>
      <c r="G16" s="23">
        <f>E16*F16*1</f>
        <v/>
      </c>
      <c r="H16" s="24" t="n">
        <v>3360</v>
      </c>
      <c r="I16" s="24" t="n">
        <v>5740</v>
      </c>
    </row>
    <row r="17">
      <c r="A17" s="25" t="inlineStr">
        <is>
          <t>05.16</t>
        </is>
      </c>
      <c r="B17" s="26" t="inlineStr">
        <is>
          <t>Aydınlatma</t>
        </is>
      </c>
      <c r="C17" s="27" t="inlineStr">
        <is>
          <t>Hareket sensörü — ıslak hacim ve geçiş</t>
        </is>
      </c>
      <c r="D17" s="28" t="inlineStr">
        <is>
          <t>adet</t>
        </is>
      </c>
      <c r="E17" s="29" t="n">
        <v>3</v>
      </c>
      <c r="F17" s="22" t="n"/>
      <c r="G17" s="30">
        <f>E17*F17*1</f>
        <v/>
      </c>
      <c r="H17" s="31" t="n">
        <v>4350</v>
      </c>
      <c r="I17" s="31" t="n">
        <v>7200</v>
      </c>
    </row>
    <row r="18">
      <c r="A18" s="18" t="inlineStr">
        <is>
          <t>05.20</t>
        </is>
      </c>
      <c r="B18" s="2" t="inlineStr">
        <is>
          <t>Priz ve kuvvet</t>
        </is>
      </c>
      <c r="C18" s="19" t="inlineStr">
        <is>
          <t>İkili topraklı priz — sıva altı, komple</t>
        </is>
      </c>
      <c r="D18" s="20" t="inlineStr">
        <is>
          <t>adet</t>
        </is>
      </c>
      <c r="E18" s="21" t="n">
        <v>20</v>
      </c>
      <c r="F18" s="22" t="n"/>
      <c r="G18" s="23">
        <f>E18*F18*1</f>
        <v/>
      </c>
      <c r="H18" s="24" t="n">
        <v>12400</v>
      </c>
      <c r="I18" s="24" t="n">
        <v>21000</v>
      </c>
    </row>
    <row r="19">
      <c r="A19" s="25" t="inlineStr">
        <is>
          <t>05.21</t>
        </is>
      </c>
      <c r="B19" s="26" t="inlineStr">
        <is>
          <t>Priz ve kuvvet</t>
        </is>
      </c>
      <c r="C19" s="27" t="inlineStr">
        <is>
          <t>IP44 priz — ıslak hacim</t>
        </is>
      </c>
      <c r="D19" s="28" t="inlineStr">
        <is>
          <t>adet</t>
        </is>
      </c>
      <c r="E19" s="29" t="n">
        <v>2</v>
      </c>
      <c r="F19" s="22" t="n"/>
      <c r="G19" s="30">
        <f>E19*F19*1</f>
        <v/>
      </c>
      <c r="H19" s="31" t="n">
        <v>1900</v>
      </c>
      <c r="I19" s="31" t="n">
        <v>3200</v>
      </c>
    </row>
    <row r="20">
      <c r="A20" s="18" t="inlineStr">
        <is>
          <t>05.22</t>
        </is>
      </c>
      <c r="B20" s="2" t="inlineStr">
        <is>
          <t>Priz ve kuvvet</t>
        </is>
      </c>
      <c r="C20" s="19" t="inlineStr">
        <is>
          <t>Priz linyesi NHXMH 3×2,5 mm² — spiral boru ve işçilik dâhil</t>
        </is>
      </c>
      <c r="D20" s="20" t="inlineStr">
        <is>
          <t>m</t>
        </is>
      </c>
      <c r="E20" s="21" t="n">
        <v>391</v>
      </c>
      <c r="F20" s="22" t="n"/>
      <c r="G20" s="23">
        <f>E20*F20*1</f>
        <v/>
      </c>
      <c r="H20" s="24" t="n">
        <v>54740</v>
      </c>
      <c r="I20" s="24" t="n">
        <v>89930</v>
      </c>
    </row>
    <row r="21">
      <c r="A21" s="25" t="inlineStr">
        <is>
          <t>05.23</t>
        </is>
      </c>
      <c r="B21" s="26" t="inlineStr">
        <is>
          <t>Priz ve kuvvet</t>
        </is>
      </c>
      <c r="C21" s="27" t="inlineStr">
        <is>
          <t>Klima besleme hattı 3×2,5 mm² + hat sonu kesici</t>
        </is>
      </c>
      <c r="D21" s="28" t="inlineStr">
        <is>
          <t>adet</t>
        </is>
      </c>
      <c r="E21" s="29" t="n">
        <v>4</v>
      </c>
      <c r="F21" s="22" t="n"/>
      <c r="G21" s="30">
        <f>E21*F21*1</f>
        <v/>
      </c>
      <c r="H21" s="31" t="n">
        <v>13600</v>
      </c>
      <c r="I21" s="31" t="n">
        <v>22800</v>
      </c>
    </row>
    <row r="22">
      <c r="A22" s="18" t="inlineStr">
        <is>
          <t>05.24</t>
        </is>
      </c>
      <c r="B22" s="2" t="inlineStr">
        <is>
          <t>Priz ve kuvvet</t>
        </is>
      </c>
      <c r="C22" s="19" t="inlineStr">
        <is>
          <t>Boyler besleme hattı 3×2,5 mm² + 20 A kesici + 30 mA kaçak akım</t>
        </is>
      </c>
      <c r="D22" s="20" t="inlineStr">
        <is>
          <t>adet</t>
        </is>
      </c>
      <c r="E22" s="21" t="n">
        <v>2</v>
      </c>
      <c r="F22" s="22" t="n"/>
      <c r="G22" s="23">
        <f>E22*F22*1</f>
        <v/>
      </c>
      <c r="H22" s="24" t="n">
        <v>8400</v>
      </c>
      <c r="I22" s="24" t="n">
        <v>14600</v>
      </c>
    </row>
    <row r="23">
      <c r="A23" s="25" t="inlineStr">
        <is>
          <t>05.25</t>
        </is>
      </c>
      <c r="B23" s="26" t="inlineStr">
        <is>
          <t>Priz ve kuvvet</t>
        </is>
      </c>
      <c r="C23" s="27" t="inlineStr">
        <is>
          <t>Havalandırma fanı besleme ve hız kontrol hattı</t>
        </is>
      </c>
      <c r="D23" s="28" t="inlineStr">
        <is>
          <t>adet</t>
        </is>
      </c>
      <c r="E23" s="29" t="n">
        <v>3</v>
      </c>
      <c r="F23" s="22" t="n"/>
      <c r="G23" s="30">
        <f>E23*F23*1</f>
        <v/>
      </c>
      <c r="H23" s="31" t="n">
        <v>7200</v>
      </c>
      <c r="I23" s="31" t="n">
        <v>12000</v>
      </c>
    </row>
    <row r="24">
      <c r="A24" s="18" t="inlineStr">
        <is>
          <t>05.26</t>
        </is>
      </c>
      <c r="B24" s="2" t="inlineStr">
        <is>
          <t>Priz ve kuvvet</t>
        </is>
      </c>
      <c r="C24" s="19" t="inlineStr">
        <is>
          <t>Banko kuvvet + veri kutusu (gömme)</t>
        </is>
      </c>
      <c r="D24" s="20" t="inlineStr">
        <is>
          <t>adet</t>
        </is>
      </c>
      <c r="E24" s="21" t="n">
        <v>1</v>
      </c>
      <c r="F24" s="22" t="n"/>
      <c r="G24" s="23">
        <f>E24*F24*1</f>
        <v/>
      </c>
      <c r="H24" s="24" t="n">
        <v>7500</v>
      </c>
      <c r="I24" s="24" t="n">
        <v>12500</v>
      </c>
    </row>
    <row r="25">
      <c r="A25" s="25" t="inlineStr">
        <is>
          <t>05.30</t>
        </is>
      </c>
      <c r="B25" s="26" t="inlineStr">
        <is>
          <t>Zayıf akım</t>
        </is>
      </c>
      <c r="C25" s="27" t="inlineStr">
        <is>
          <t>Cat6 veri prizi + kablolama</t>
        </is>
      </c>
      <c r="D25" s="28" t="inlineStr">
        <is>
          <t>adet</t>
        </is>
      </c>
      <c r="E25" s="29" t="n">
        <v>6</v>
      </c>
      <c r="F25" s="22" t="n"/>
      <c r="G25" s="30">
        <f>E25*F25*1</f>
        <v/>
      </c>
      <c r="H25" s="31" t="n">
        <v>8700</v>
      </c>
      <c r="I25" s="31" t="n">
        <v>14700</v>
      </c>
    </row>
    <row r="26">
      <c r="A26" s="18" t="inlineStr">
        <is>
          <t>05.31</t>
        </is>
      </c>
      <c r="B26" s="2" t="inlineStr">
        <is>
          <t>Zayıf akım</t>
        </is>
      </c>
      <c r="C26" s="19" t="inlineStr">
        <is>
          <t>Kablosuz erişim noktası (AP) + PoE besleme</t>
        </is>
      </c>
      <c r="D26" s="20" t="inlineStr">
        <is>
          <t>adet</t>
        </is>
      </c>
      <c r="E26" s="21" t="n">
        <v>2</v>
      </c>
      <c r="F26" s="22" t="n"/>
      <c r="G26" s="23">
        <f>E26*F26*1</f>
        <v/>
      </c>
      <c r="H26" s="24" t="n">
        <v>13600</v>
      </c>
      <c r="I26" s="24" t="n">
        <v>23000</v>
      </c>
    </row>
    <row r="27">
      <c r="A27" s="25" t="inlineStr">
        <is>
          <t>05.32</t>
        </is>
      </c>
      <c r="B27" s="26" t="inlineStr">
        <is>
          <t>Zayıf akım</t>
        </is>
      </c>
      <c r="C27" s="27" t="inlineStr">
        <is>
          <t>IP güvenlik kamerası — iç mekân (soyunma ve WC HARİÇ)</t>
        </is>
      </c>
      <c r="D27" s="28" t="inlineStr">
        <is>
          <t>adet</t>
        </is>
      </c>
      <c r="E27" s="29" t="n">
        <v>5</v>
      </c>
      <c r="F27" s="22" t="n"/>
      <c r="G27" s="30">
        <f>E27*F27*1</f>
        <v/>
      </c>
      <c r="H27" s="31" t="n">
        <v>27000</v>
      </c>
      <c r="I27" s="31" t="n">
        <v>45000</v>
      </c>
    </row>
    <row r="28">
      <c r="A28" s="18" t="inlineStr">
        <is>
          <t>05.33</t>
        </is>
      </c>
      <c r="B28" s="2" t="inlineStr">
        <is>
          <t>Zayıf akım</t>
        </is>
      </c>
      <c r="C28" s="19" t="inlineStr">
        <is>
          <t>NVR + 4 TB disk + 9U rack kabinet</t>
        </is>
      </c>
      <c r="D28" s="20" t="inlineStr">
        <is>
          <t>takım</t>
        </is>
      </c>
      <c r="E28" s="21" t="n">
        <v>1</v>
      </c>
      <c r="F28" s="22" t="n"/>
      <c r="G28" s="23">
        <f>E28*F28*1</f>
        <v/>
      </c>
      <c r="H28" s="24" t="n">
        <v>24000</v>
      </c>
      <c r="I28" s="24" t="n">
        <v>40000</v>
      </c>
    </row>
    <row r="29">
      <c r="A29" s="25" t="inlineStr">
        <is>
          <t>05.34</t>
        </is>
      </c>
      <c r="B29" s="26" t="inlineStr">
        <is>
          <t>Zayıf akım</t>
        </is>
      </c>
      <c r="C29" s="27" t="inlineStr">
        <is>
          <t>Tavan hoparlörü 6 W / 100 V hat</t>
        </is>
      </c>
      <c r="D29" s="28" t="inlineStr">
        <is>
          <t>adet</t>
        </is>
      </c>
      <c r="E29" s="29" t="n">
        <v>6</v>
      </c>
      <c r="F29" s="22" t="n"/>
      <c r="G29" s="30">
        <f>E29*F29*1</f>
        <v/>
      </c>
      <c r="H29" s="31" t="n">
        <v>9900</v>
      </c>
      <c r="I29" s="31" t="n">
        <v>16800</v>
      </c>
    </row>
    <row r="30">
      <c r="A30" s="18" t="inlineStr">
        <is>
          <t>05.35</t>
        </is>
      </c>
      <c r="B30" s="2" t="inlineStr">
        <is>
          <t>Zayıf akım</t>
        </is>
      </c>
      <c r="C30" s="19" t="inlineStr">
        <is>
          <t>Anfi / ses matrisi 120 W + kaynak</t>
        </is>
      </c>
      <c r="D30" s="20" t="inlineStr">
        <is>
          <t>takım</t>
        </is>
      </c>
      <c r="E30" s="21" t="n">
        <v>1</v>
      </c>
      <c r="F30" s="22" t="n"/>
      <c r="G30" s="23">
        <f>E30*F30*1</f>
        <v/>
      </c>
      <c r="H30" s="24" t="n">
        <v>14000</v>
      </c>
      <c r="I30" s="24" t="n">
        <v>24000</v>
      </c>
    </row>
    <row r="31">
      <c r="A31" s="25" t="inlineStr">
        <is>
          <t>05.36</t>
        </is>
      </c>
      <c r="B31" s="26" t="inlineStr">
        <is>
          <t>Zayıf akım</t>
        </is>
      </c>
      <c r="C31" s="27" t="inlineStr">
        <is>
          <t>Geçiş kontrol — kapı okuyucu + elektrikli kilit + buton</t>
        </is>
      </c>
      <c r="D31" s="28" t="inlineStr">
        <is>
          <t>takım</t>
        </is>
      </c>
      <c r="E31" s="29" t="n">
        <v>1</v>
      </c>
      <c r="F31" s="22" t="n"/>
      <c r="G31" s="30">
        <f>E31*F31*1</f>
        <v/>
      </c>
      <c r="H31" s="31" t="n">
        <v>16500</v>
      </c>
      <c r="I31" s="31" t="n">
        <v>28000</v>
      </c>
    </row>
    <row r="32">
      <c r="A32" s="18" t="inlineStr">
        <is>
          <t>05.37</t>
        </is>
      </c>
      <c r="B32" s="2" t="inlineStr">
        <is>
          <t>Zayıf akım</t>
        </is>
      </c>
      <c r="C32" s="19" t="inlineStr">
        <is>
          <t>Yangın algılama paneli — 2 zon, aküleriyle</t>
        </is>
      </c>
      <c r="D32" s="20" t="inlineStr">
        <is>
          <t>adet</t>
        </is>
      </c>
      <c r="E32" s="21" t="n">
        <v>1</v>
      </c>
      <c r="F32" s="22" t="n"/>
      <c r="G32" s="23">
        <f>E32*F32*1</f>
        <v/>
      </c>
      <c r="H32" s="24" t="n">
        <v>14500</v>
      </c>
      <c r="I32" s="24" t="n">
        <v>24500</v>
      </c>
    </row>
    <row r="33">
      <c r="A33" s="25" t="inlineStr">
        <is>
          <t>05.38</t>
        </is>
      </c>
      <c r="B33" s="26" t="inlineStr">
        <is>
          <t>Zayıf akım</t>
        </is>
      </c>
      <c r="C33" s="27" t="inlineStr">
        <is>
          <t>Optik duman dedektörü</t>
        </is>
      </c>
      <c r="D33" s="28" t="inlineStr">
        <is>
          <t>adet</t>
        </is>
      </c>
      <c r="E33" s="29" t="n">
        <v>6</v>
      </c>
      <c r="F33" s="22" t="n"/>
      <c r="G33" s="30">
        <f>E33*F33*1</f>
        <v/>
      </c>
      <c r="H33" s="31" t="n">
        <v>7500</v>
      </c>
      <c r="I33" s="31" t="n">
        <v>12600</v>
      </c>
    </row>
    <row r="34">
      <c r="A34" s="18" t="inlineStr">
        <is>
          <t>05.39</t>
        </is>
      </c>
      <c r="B34" s="2" t="inlineStr">
        <is>
          <t>Zayıf akım</t>
        </is>
      </c>
      <c r="C34" s="19" t="inlineStr">
        <is>
          <t>Yangın ihbar butonu / siren + flaşör</t>
        </is>
      </c>
      <c r="D34" s="20" t="inlineStr">
        <is>
          <t>adet</t>
        </is>
      </c>
      <c r="E34" s="21" t="n">
        <v>3</v>
      </c>
      <c r="F34" s="22" t="n"/>
      <c r="G34" s="23">
        <f>E34*F34*1</f>
        <v/>
      </c>
      <c r="H34" s="24" t="n">
        <v>5550</v>
      </c>
      <c r="I34" s="24" t="n">
        <v>9300</v>
      </c>
    </row>
    <row r="35">
      <c r="A35" s="25" t="inlineStr">
        <is>
          <t>05.40</t>
        </is>
      </c>
      <c r="B35" s="26" t="inlineStr">
        <is>
          <t>Zayıf akım</t>
        </is>
      </c>
      <c r="C35" s="27" t="inlineStr">
        <is>
          <t>Zayıf akım kablolaması (Cat6, koaksiyel, ses, algılama)</t>
        </is>
      </c>
      <c r="D35" s="28" t="inlineStr">
        <is>
          <t>m</t>
        </is>
      </c>
      <c r="E35" s="29" t="n">
        <v>212</v>
      </c>
      <c r="F35" s="22" t="n"/>
      <c r="G35" s="30">
        <f>E35*F35*1</f>
        <v/>
      </c>
      <c r="H35" s="31" t="n">
        <v>12720</v>
      </c>
      <c r="I35" s="31" t="n">
        <v>22260</v>
      </c>
    </row>
    <row r="36">
      <c r="A36" s="18" t="inlineStr">
        <is>
          <t>05.45</t>
        </is>
      </c>
      <c r="B36" s="2" t="inlineStr">
        <is>
          <t>Topraklama</t>
        </is>
      </c>
      <c r="C36" s="19" t="inlineStr">
        <is>
          <t>Topraklama çubuğu, bağlantı ve ölçüm kutusu</t>
        </is>
      </c>
      <c r="D36" s="20" t="inlineStr">
        <is>
          <t>takım</t>
        </is>
      </c>
      <c r="E36" s="21" t="n">
        <v>1</v>
      </c>
      <c r="F36" s="22" t="n"/>
      <c r="G36" s="23">
        <f>E36*F36*1</f>
        <v/>
      </c>
      <c r="H36" s="24" t="n">
        <v>8500</v>
      </c>
      <c r="I36" s="24" t="n">
        <v>14500</v>
      </c>
    </row>
    <row r="37">
      <c r="A37" s="25" t="inlineStr">
        <is>
          <t>05.46</t>
        </is>
      </c>
      <c r="B37" s="26" t="inlineStr">
        <is>
          <t>Topraklama</t>
        </is>
      </c>
      <c r="C37" s="27" t="inlineStr">
        <is>
          <t>Ana potansiyel dengeleme barası ve iletkenleri</t>
        </is>
      </c>
      <c r="D37" s="28" t="inlineStr">
        <is>
          <t>takım</t>
        </is>
      </c>
      <c r="E37" s="29" t="n">
        <v>1</v>
      </c>
      <c r="F37" s="22" t="n"/>
      <c r="G37" s="30">
        <f>E37*F37*1</f>
        <v/>
      </c>
      <c r="H37" s="31" t="n">
        <v>5200</v>
      </c>
      <c r="I37" s="31" t="n">
        <v>8800</v>
      </c>
    </row>
    <row r="38">
      <c r="A38" s="18" t="inlineStr">
        <is>
          <t>05.47</t>
        </is>
      </c>
      <c r="B38" s="2" t="inlineStr">
        <is>
          <t>Topraklama</t>
        </is>
      </c>
      <c r="C38" s="19" t="inlineStr">
        <is>
          <t>Islak hacim ek potansiyel dengeleme</t>
        </is>
      </c>
      <c r="D38" s="20" t="inlineStr">
        <is>
          <t>takım</t>
        </is>
      </c>
      <c r="E38" s="21" t="n">
        <v>2</v>
      </c>
      <c r="F38" s="22" t="n"/>
      <c r="G38" s="23">
        <f>E38*F38*1</f>
        <v/>
      </c>
      <c r="H38" s="24" t="n">
        <v>5600</v>
      </c>
      <c r="I38" s="24" t="n">
        <v>9400</v>
      </c>
    </row>
    <row r="39">
      <c r="A39" s="25" t="inlineStr">
        <is>
          <t>05.48</t>
        </is>
      </c>
      <c r="B39" s="26" t="inlineStr">
        <is>
          <t>Topraklama</t>
        </is>
      </c>
      <c r="C39" s="27" t="inlineStr">
        <is>
          <t>Topraklama direnci ölçümü, izolasyon testi ve rapor</t>
        </is>
      </c>
      <c r="D39" s="28" t="inlineStr">
        <is>
          <t>götürü</t>
        </is>
      </c>
      <c r="E39" s="29" t="n">
        <v>1</v>
      </c>
      <c r="F39" s="22" t="n"/>
      <c r="G39" s="30">
        <f>E39*F39*1</f>
        <v/>
      </c>
      <c r="H39" s="31" t="n">
        <v>7500</v>
      </c>
      <c r="I39" s="31" t="n">
        <v>13000</v>
      </c>
    </row>
    <row r="41">
      <c r="A41" s="32" t="n"/>
      <c r="B41" s="32" t="n"/>
      <c r="C41" s="33" t="inlineStr">
        <is>
          <t>ELEKTRIK İMALAT TOPLAMI</t>
        </is>
      </c>
      <c r="D41" s="32" t="n"/>
      <c r="E41" s="32" t="n"/>
      <c r="F41" s="32" t="n"/>
      <c r="G41" s="34">
        <f>SUM(G4:G39)</f>
        <v/>
      </c>
      <c r="H41" s="34">
        <f>SUM(H4:H39)</f>
        <v/>
      </c>
      <c r="I41" s="34">
        <f>SUM(I4:I39)</f>
        <v/>
      </c>
    </row>
  </sheetData>
  <autoFilter ref="A3:I39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34" customWidth="1" min="4" max="4"/>
  </cols>
  <sheetData>
    <row r="1">
      <c r="A1" s="1" t="inlineStr">
        <is>
          <t>ELEKTRİK SİSTEM VERİLERİ</t>
        </is>
      </c>
    </row>
    <row r="2">
      <c r="A2" s="2" t="inlineStr">
        <is>
          <t>Linye tablosu · faz dengesi · yük özeti</t>
        </is>
      </c>
    </row>
    <row r="4">
      <c r="A4" s="16" t="inlineStr">
        <is>
          <t>GÜÇ ÖZETİ</t>
        </is>
      </c>
      <c r="B4" s="16" t="n"/>
      <c r="C4" s="16" t="n"/>
      <c r="D4" s="16" t="n"/>
    </row>
    <row r="5">
      <c r="A5" s="15" t="inlineStr">
        <is>
          <t>Toplam bağlı güç</t>
        </is>
      </c>
      <c r="B5" s="35" t="n">
        <v>20.59</v>
      </c>
      <c r="C5" s="7" t="inlineStr">
        <is>
          <t>kW</t>
        </is>
      </c>
      <c r="D5" s="15" t="n"/>
    </row>
    <row r="6">
      <c r="A6" s="36" t="inlineStr">
        <is>
          <t>Talep gücü (eşzamanlılık)</t>
        </is>
      </c>
      <c r="B6" s="37" t="n">
        <v>14.63</v>
      </c>
      <c r="C6" s="11" t="inlineStr">
        <is>
          <t>kW</t>
        </is>
      </c>
      <c r="D6" s="36" t="n"/>
    </row>
    <row r="7">
      <c r="A7" s="15" t="inlineStr">
        <is>
          <t>Faz dengesizliği</t>
        </is>
      </c>
      <c r="B7" s="35" t="n">
        <v>1</v>
      </c>
      <c r="C7" s="7" t="inlineStr">
        <is>
          <t>%</t>
        </is>
      </c>
      <c r="D7" s="15" t="n"/>
    </row>
    <row r="8">
      <c r="A8" s="36" t="inlineStr">
        <is>
          <t>Ana kesici</t>
        </is>
      </c>
      <c r="B8" s="37" t="n">
        <v>32</v>
      </c>
      <c r="C8" s="11" t="inlineStr">
        <is>
          <t>×3 A</t>
        </is>
      </c>
      <c r="D8" s="36" t="n"/>
    </row>
    <row r="9">
      <c r="A9" s="15" t="inlineStr">
        <is>
          <t>Linye adedi</t>
        </is>
      </c>
      <c r="B9" s="35" t="n">
        <v>22</v>
      </c>
      <c r="C9" s="7" t="inlineStr">
        <is>
          <t>adet</t>
        </is>
      </c>
      <c r="D9" s="15" t="n"/>
    </row>
    <row r="11">
      <c r="A11" s="16" t="inlineStr">
        <is>
          <t>FAZ YÜKLERİ</t>
        </is>
      </c>
      <c r="B11" s="16" t="n"/>
      <c r="C11" s="16" t="n"/>
      <c r="D11" s="16" t="n"/>
    </row>
    <row r="12">
      <c r="A12" s="36" t="inlineStr">
        <is>
          <t>Faz L1</t>
        </is>
      </c>
      <c r="B12" s="37" t="n">
        <v>4.86</v>
      </c>
      <c r="C12" s="11" t="inlineStr">
        <is>
          <t>kW</t>
        </is>
      </c>
      <c r="D12" s="36" t="n"/>
    </row>
    <row r="13">
      <c r="A13" s="15" t="inlineStr">
        <is>
          <t>Faz L2</t>
        </is>
      </c>
      <c r="B13" s="35" t="n">
        <v>4.91</v>
      </c>
      <c r="C13" s="7" t="inlineStr">
        <is>
          <t>kW</t>
        </is>
      </c>
      <c r="D13" s="15" t="n"/>
    </row>
    <row r="14">
      <c r="A14" s="36" t="inlineStr">
        <is>
          <t>Faz L3</t>
        </is>
      </c>
      <c r="B14" s="37" t="n">
        <v>4.87</v>
      </c>
      <c r="C14" s="11" t="inlineStr">
        <is>
          <t>kW</t>
        </is>
      </c>
      <c r="D14" s="36" t="n"/>
    </row>
    <row r="15">
      <c r="A15" s="15" t="inlineStr">
        <is>
          <t>Akım L1</t>
        </is>
      </c>
      <c r="B15" s="35" t="n">
        <v>23</v>
      </c>
      <c r="C15" s="7" t="inlineStr">
        <is>
          <t>A</t>
        </is>
      </c>
      <c r="D15" s="15" t="n"/>
    </row>
    <row r="16">
      <c r="A16" s="36" t="inlineStr">
        <is>
          <t>Akım L2</t>
        </is>
      </c>
      <c r="B16" s="37" t="n">
        <v>23.2</v>
      </c>
      <c r="C16" s="11" t="inlineStr">
        <is>
          <t>A</t>
        </is>
      </c>
      <c r="D16" s="36" t="n"/>
    </row>
    <row r="17">
      <c r="A17" s="15" t="inlineStr">
        <is>
          <t>Akım L3</t>
        </is>
      </c>
      <c r="B17" s="35" t="n">
        <v>23</v>
      </c>
      <c r="C17" s="7" t="inlineStr">
        <is>
          <t>A</t>
        </is>
      </c>
      <c r="D17" s="15" t="n"/>
    </row>
    <row r="19">
      <c r="A19" s="16" t="inlineStr">
        <is>
          <t>CİHAZ ADETLERİ</t>
        </is>
      </c>
      <c r="B19" s="16" t="n"/>
      <c r="C19" s="16" t="n"/>
      <c r="D19" s="16" t="n"/>
    </row>
    <row r="20">
      <c r="A20" s="36" t="inlineStr">
        <is>
          <t>Lineer LED armatür</t>
        </is>
      </c>
      <c r="B20" s="37" t="n">
        <v>15</v>
      </c>
      <c r="C20" s="11" t="inlineStr">
        <is>
          <t>adet</t>
        </is>
      </c>
      <c r="D20" s="36" t="n"/>
    </row>
    <row r="21">
      <c r="A21" s="15" t="inlineStr">
        <is>
          <t>IP44 downlight</t>
        </is>
      </c>
      <c r="B21" s="35" t="n">
        <v>6</v>
      </c>
      <c r="C21" s="7" t="inlineStr">
        <is>
          <t>adet</t>
        </is>
      </c>
      <c r="D21" s="15" t="n"/>
    </row>
    <row r="22">
      <c r="A22" s="36" t="inlineStr">
        <is>
          <t>İkili topraklı priz</t>
        </is>
      </c>
      <c r="B22" s="37" t="n">
        <v>20</v>
      </c>
      <c r="C22" s="11" t="inlineStr">
        <is>
          <t>adet</t>
        </is>
      </c>
      <c r="D22" s="36" t="n"/>
    </row>
    <row r="23">
      <c r="A23" s="15" t="inlineStr">
        <is>
          <t>IP44 priz</t>
        </is>
      </c>
      <c r="B23" s="35" t="n">
        <v>2</v>
      </c>
      <c r="C23" s="7" t="inlineStr">
        <is>
          <t>adet</t>
        </is>
      </c>
      <c r="D23" s="15" t="n"/>
    </row>
    <row r="24">
      <c r="A24" s="36" t="inlineStr">
        <is>
          <t>IP kamera</t>
        </is>
      </c>
      <c r="B24" s="37" t="n">
        <v>5</v>
      </c>
      <c r="C24" s="11" t="inlineStr">
        <is>
          <t>adet</t>
        </is>
      </c>
      <c r="D24" s="36" t="n"/>
    </row>
    <row r="25">
      <c r="A25" s="15" t="inlineStr">
        <is>
          <t>Tavan hoparlörü</t>
        </is>
      </c>
      <c r="B25" s="35" t="n">
        <v>6</v>
      </c>
      <c r="C25" s="7" t="inlineStr">
        <is>
          <t>adet</t>
        </is>
      </c>
      <c r="D25" s="15" t="n"/>
    </row>
    <row r="26">
      <c r="A26" s="36" t="inlineStr">
        <is>
          <t>Duman dedektörü</t>
        </is>
      </c>
      <c r="B26" s="37" t="n">
        <v>6</v>
      </c>
      <c r="C26" s="11" t="inlineStr">
        <is>
          <t>adet</t>
        </is>
      </c>
      <c r="D26" s="36" t="n"/>
    </row>
    <row r="28">
      <c r="A28" s="16" t="inlineStr">
        <is>
          <t>KABLO METRAJI</t>
        </is>
      </c>
      <c r="B28" s="16" t="n"/>
      <c r="C28" s="16" t="n"/>
      <c r="D28" s="16" t="n"/>
    </row>
    <row r="29">
      <c r="A29" s="15" t="inlineStr">
        <is>
          <t>Aydınlatma linyesi 3×1,5</t>
        </is>
      </c>
      <c r="B29" s="35" t="n">
        <v>42</v>
      </c>
      <c r="C29" s="7" t="inlineStr">
        <is>
          <t>m</t>
        </is>
      </c>
      <c r="D29" s="15" t="n"/>
    </row>
    <row r="30">
      <c r="A30" s="36" t="inlineStr">
        <is>
          <t>Priz/kuvvet linyesi 3×2,5</t>
        </is>
      </c>
      <c r="B30" s="37" t="n">
        <v>391</v>
      </c>
      <c r="C30" s="11" t="inlineStr">
        <is>
          <t>m</t>
        </is>
      </c>
      <c r="D30" s="36" t="n"/>
    </row>
    <row r="31">
      <c r="A31" s="15" t="inlineStr">
        <is>
          <t>Zayıf akım kablolaması</t>
        </is>
      </c>
      <c r="B31" s="35" t="n">
        <v>212</v>
      </c>
      <c r="C31" s="7" t="inlineStr">
        <is>
          <t>m</t>
        </is>
      </c>
      <c r="D31" s="15" t="n"/>
    </row>
    <row r="32">
      <c r="A32" s="36" t="inlineStr">
        <is>
          <t>Kolon hattı NYY 5×10</t>
        </is>
      </c>
      <c r="B32" s="37" t="n">
        <v>22</v>
      </c>
      <c r="C32" s="11" t="inlineStr">
        <is>
          <t>m</t>
        </is>
      </c>
      <c r="D32" s="36" t="n"/>
    </row>
    <row r="34">
      <c r="A34" s="16" t="inlineStr">
        <is>
          <t>LİNYE TABLOSU</t>
        </is>
      </c>
      <c r="B34" s="16" t="n"/>
      <c r="C34" s="16" t="n"/>
      <c r="D34" s="16" t="n"/>
    </row>
    <row r="35">
      <c r="A35" s="38" t="inlineStr">
        <is>
          <t>Linye</t>
        </is>
      </c>
      <c r="B35" s="38" t="inlineStr">
        <is>
          <t>Tanım</t>
        </is>
      </c>
      <c r="C35" s="38" t="inlineStr">
        <is>
          <t>Koruma / kesit</t>
        </is>
      </c>
      <c r="D35" s="38" t="inlineStr">
        <is>
          <t>Faz · bağlı kW · talep kW</t>
        </is>
      </c>
    </row>
    <row r="36">
      <c r="A36" s="39" t="inlineStr">
        <is>
          <t>L1</t>
        </is>
      </c>
      <c r="B36" s="40" t="inlineStr">
        <is>
          <t>Aydınlatma — arena / serbest ağırlık</t>
        </is>
      </c>
      <c r="C36" s="41" t="inlineStr">
        <is>
          <t>1×10 A · 3×2,5 mm²</t>
        </is>
      </c>
      <c r="D36" s="41" t="inlineStr">
        <is>
          <t>L2 · 0.28 · 0.28</t>
        </is>
      </c>
    </row>
    <row r="37">
      <c r="A37" s="42" t="inlineStr">
        <is>
          <t>L2</t>
        </is>
      </c>
      <c r="B37" s="43" t="inlineStr">
        <is>
          <t>Aydınlatma — fonksiyonel / kardiyo</t>
        </is>
      </c>
      <c r="C37" s="44" t="inlineStr">
        <is>
          <t>1×10 A · 3×2,5 mm²</t>
        </is>
      </c>
      <c r="D37" s="44" t="inlineStr">
        <is>
          <t>L3 · 0.12 · 0.12</t>
        </is>
      </c>
    </row>
    <row r="38">
      <c r="A38" s="39" t="inlineStr">
        <is>
          <t>L3</t>
        </is>
      </c>
      <c r="B38" s="40" t="inlineStr">
        <is>
          <t>Aydınlatma — dinlenme salonu</t>
        </is>
      </c>
      <c r="C38" s="41" t="inlineStr">
        <is>
          <t>1×10 A · 3×2,5 mm²</t>
        </is>
      </c>
      <c r="D38" s="41" t="inlineStr">
        <is>
          <t>L1 · 0.12 · 0.12</t>
        </is>
      </c>
    </row>
    <row r="39">
      <c r="A39" s="42" t="inlineStr">
        <is>
          <t>L4</t>
        </is>
      </c>
      <c r="B39" s="43" t="inlineStr">
        <is>
          <t>Aydınlatma — giriş / banko</t>
        </is>
      </c>
      <c r="C39" s="44" t="inlineStr">
        <is>
          <t>1×10 A · 3×2,5 mm²</t>
        </is>
      </c>
      <c r="D39" s="44" t="inlineStr">
        <is>
          <t>L3 · 0.08 · 0.08</t>
        </is>
      </c>
    </row>
    <row r="40">
      <c r="A40" s="39" t="inlineStr">
        <is>
          <t>L5</t>
        </is>
      </c>
      <c r="B40" s="40" t="inlineStr">
        <is>
          <t>Aydınlatma — ıslak hacim (IP44)</t>
        </is>
      </c>
      <c r="C40" s="41" t="inlineStr">
        <is>
          <t>1×10 A · 3×2,5 mm²</t>
        </is>
      </c>
      <c r="D40" s="41" t="inlineStr">
        <is>
          <t>L1 · 0.11 · 0.07</t>
        </is>
      </c>
    </row>
    <row r="41">
      <c r="A41" s="42" t="inlineStr">
        <is>
          <t>L6</t>
        </is>
      </c>
      <c r="B41" s="43" t="inlineStr">
        <is>
          <t>Acil aydınlatma ve yönlendirme</t>
        </is>
      </c>
      <c r="C41" s="44" t="inlineStr">
        <is>
          <t>1×6 A · 3×2,5 mm²</t>
        </is>
      </c>
      <c r="D41" s="44" t="inlineStr">
        <is>
          <t>L2 · 0.06 · 0.06</t>
        </is>
      </c>
    </row>
    <row r="42">
      <c r="A42" s="39" t="inlineStr">
        <is>
          <t>P1</t>
        </is>
      </c>
      <c r="B42" s="40" t="inlineStr">
        <is>
          <t>Priz — salon kuzey (PR12–PR16, PR1)</t>
        </is>
      </c>
      <c r="C42" s="41" t="inlineStr">
        <is>
          <t>1×16 A · 3×2,5 mm²</t>
        </is>
      </c>
      <c r="D42" s="41" t="inlineStr">
        <is>
          <t>L1 · 0.90 · 0.45</t>
        </is>
      </c>
    </row>
    <row r="43">
      <c r="A43" s="42" t="inlineStr">
        <is>
          <t>P2</t>
        </is>
      </c>
      <c r="B43" s="43" t="inlineStr">
        <is>
          <t>Priz — salon güney (PR5–PR9)</t>
        </is>
      </c>
      <c r="C43" s="44" t="inlineStr">
        <is>
          <t>1×16 A · 3×2,5 mm²</t>
        </is>
      </c>
      <c r="D43" s="44" t="inlineStr">
        <is>
          <t>L3 · 0.75 · 0.38</t>
        </is>
      </c>
    </row>
    <row r="44">
      <c r="A44" s="39" t="inlineStr">
        <is>
          <t>P6</t>
        </is>
      </c>
      <c r="B44" s="40" t="inlineStr">
        <is>
          <t>Priz — salon batı ve doğu (PR2–PR4, PR10, PR11)</t>
        </is>
      </c>
      <c r="C44" s="41" t="inlineStr">
        <is>
          <t>1×16 A · 3×2,5 mm²</t>
        </is>
      </c>
      <c r="D44" s="41" t="inlineStr">
        <is>
          <t>L1 · 0.75 · 0.38</t>
        </is>
      </c>
    </row>
    <row r="45">
      <c r="A45" s="42" t="inlineStr">
        <is>
          <t>P3</t>
        </is>
      </c>
      <c r="B45" s="43" t="inlineStr">
        <is>
          <t>Priz — banko, POS, veri</t>
        </is>
      </c>
      <c r="C45" s="44" t="inlineStr">
        <is>
          <t>1×16 A · 3×2,5 mm²</t>
        </is>
      </c>
      <c r="D45" s="44" t="inlineStr">
        <is>
          <t>L2 · 1.00 · 0.70</t>
        </is>
      </c>
    </row>
    <row r="46">
      <c r="A46" s="39" t="inlineStr">
        <is>
          <t>P4</t>
        </is>
      </c>
      <c r="B46" s="40" t="inlineStr">
        <is>
          <t>Priz — kardiyo ekipmanı (ayrı linye)</t>
        </is>
      </c>
      <c r="C46" s="41" t="inlineStr">
        <is>
          <t>1×16 A · 3×2,5 mm²</t>
        </is>
      </c>
      <c r="D46" s="41" t="inlineStr">
        <is>
          <t>L1 · 2.40 · 1.92</t>
        </is>
      </c>
    </row>
    <row r="47">
      <c r="A47" s="42" t="inlineStr">
        <is>
          <t>P5</t>
        </is>
      </c>
      <c r="B47" s="43" t="inlineStr">
        <is>
          <t>Priz — ıslak hacim IP44 (ayrı kaçak akım)</t>
        </is>
      </c>
      <c r="C47" s="44" t="inlineStr">
        <is>
          <t>1×16 A · 3×2,5 mm²</t>
        </is>
      </c>
      <c r="D47" s="44" t="inlineStr">
        <is>
          <t>L3 · 0.50 · 0.15</t>
        </is>
      </c>
    </row>
    <row r="48">
      <c r="A48" s="39" t="inlineStr">
        <is>
          <t>K1</t>
        </is>
      </c>
      <c r="B48" s="40" t="inlineStr">
        <is>
          <t>Klima — arena 24.000 BTU</t>
        </is>
      </c>
      <c r="C48" s="41" t="inlineStr">
        <is>
          <t>1×16 A · 3×2,5 mm²</t>
        </is>
      </c>
      <c r="D48" s="41" t="inlineStr">
        <is>
          <t>L2 · 2.20 · 1.87</t>
        </is>
      </c>
    </row>
    <row r="49">
      <c r="A49" s="42" t="inlineStr">
        <is>
          <t>K2</t>
        </is>
      </c>
      <c r="B49" s="43" t="inlineStr">
        <is>
          <t>Klima — fonksiyonel 18.000 BTU</t>
        </is>
      </c>
      <c r="C49" s="44" t="inlineStr">
        <is>
          <t>1×16 A · 3×2,5 mm²</t>
        </is>
      </c>
      <c r="D49" s="44" t="inlineStr">
        <is>
          <t>L2 · 1.70 · 1.45</t>
        </is>
      </c>
    </row>
    <row r="50">
      <c r="A50" s="39" t="inlineStr">
        <is>
          <t>K3</t>
        </is>
      </c>
      <c r="B50" s="40" t="inlineStr">
        <is>
          <t>Klima — giriş 12.000 BTU</t>
        </is>
      </c>
      <c r="C50" s="41" t="inlineStr">
        <is>
          <t>1×16 A · 3×2,5 mm²</t>
        </is>
      </c>
      <c r="D50" s="41" t="inlineStr">
        <is>
          <t>L1 · 1.15 · 0.98</t>
        </is>
      </c>
    </row>
    <row r="51">
      <c r="A51" s="42" t="inlineStr">
        <is>
          <t>K4</t>
        </is>
      </c>
      <c r="B51" s="43" t="inlineStr">
        <is>
          <t>Klima — dinlenme 12.000 BTU</t>
        </is>
      </c>
      <c r="C51" s="44" t="inlineStr">
        <is>
          <t>1×16 A · 3×2,5 mm²</t>
        </is>
      </c>
      <c r="D51" s="44" t="inlineStr">
        <is>
          <t>L1 · 1.15 · 0.81</t>
        </is>
      </c>
    </row>
    <row r="52">
      <c r="A52" s="39" t="inlineStr">
        <is>
          <t>W1</t>
        </is>
      </c>
      <c r="B52" s="40" t="inlineStr">
        <is>
          <t>Su ısıtıcı — erkek bloğu, boyler 3 kW</t>
        </is>
      </c>
      <c r="C52" s="41" t="inlineStr">
        <is>
          <t>1×20 A · 3×2,5 mm²</t>
        </is>
      </c>
      <c r="D52" s="41" t="inlineStr">
        <is>
          <t>L3 · 3.00 · 1.80</t>
        </is>
      </c>
    </row>
    <row r="53">
      <c r="A53" s="42" t="inlineStr">
        <is>
          <t>W2</t>
        </is>
      </c>
      <c r="B53" s="43" t="inlineStr">
        <is>
          <t>Su ısıtıcı — kadın bloğu, boyler 3 kW</t>
        </is>
      </c>
      <c r="C53" s="44" t="inlineStr">
        <is>
          <t>1×20 A · 3×2,5 mm²</t>
        </is>
      </c>
      <c r="D53" s="44" t="inlineStr">
        <is>
          <t>L3 · 3.00 · 1.80</t>
        </is>
      </c>
    </row>
    <row r="54">
      <c r="A54" s="39" t="inlineStr">
        <is>
          <t>V1</t>
        </is>
      </c>
      <c r="B54" s="40" t="inlineStr">
        <is>
          <t>Havalandırma — taze hava + egzoz fanı</t>
        </is>
      </c>
      <c r="C54" s="41" t="inlineStr">
        <is>
          <t>1×10 A · 3×2,5 mm²</t>
        </is>
      </c>
      <c r="D54" s="41" t="inlineStr">
        <is>
          <t>L2 · 0.45 · 0.45</t>
        </is>
      </c>
    </row>
    <row r="55">
      <c r="A55" s="42" t="inlineStr">
        <is>
          <t>V2</t>
        </is>
      </c>
      <c r="B55" s="43" t="inlineStr">
        <is>
          <t>Islak hacim egzoz fanı</t>
        </is>
      </c>
      <c r="C55" s="44" t="inlineStr">
        <is>
          <t>1×6 A · 3×2,5 mm²</t>
        </is>
      </c>
      <c r="D55" s="44" t="inlineStr">
        <is>
          <t>L2 · 0.12 · 0.10</t>
        </is>
      </c>
    </row>
    <row r="56">
      <c r="A56" s="39" t="inlineStr">
        <is>
          <t>Z1</t>
        </is>
      </c>
      <c r="B56" s="40" t="inlineStr">
        <is>
          <t>Zayıf akım — rack, CCTV, ses, geçiş kontrol</t>
        </is>
      </c>
      <c r="C56" s="41" t="inlineStr">
        <is>
          <t>1×10 A · 3×2,5 mm²</t>
        </is>
      </c>
      <c r="D56" s="41" t="inlineStr">
        <is>
          <t>L3 · 0.60 · 0.54</t>
        </is>
      </c>
    </row>
    <row r="57">
      <c r="A57" s="42" t="inlineStr">
        <is>
          <t>Z2</t>
        </is>
      </c>
      <c r="B57" s="43" t="inlineStr">
        <is>
          <t>Yangın algılama paneli (kesintisiz)</t>
        </is>
      </c>
      <c r="C57" s="44" t="inlineStr">
        <is>
          <t>1×6 A · 3×2,5 mm²</t>
        </is>
      </c>
      <c r="D57" s="44" t="inlineStr">
        <is>
          <t>L1 · 0.15 · 0.15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78" customWidth="1" min="3" max="3"/>
  </cols>
  <sheetData>
    <row r="1">
      <c r="A1" s="1" t="inlineStr">
        <is>
          <t>VARSAYIMLAR VE DOĞRULANACAKLAR</t>
        </is>
      </c>
    </row>
    <row r="2">
      <c r="A2" s="2" t="inlineStr">
        <is>
          <t>Bu değerler ölçülmemiştir</t>
        </is>
      </c>
    </row>
    <row r="3">
      <c r="A3" s="3" t="inlineStr">
        <is>
          <t>Parametre</t>
        </is>
      </c>
      <c r="B3" s="3" t="inlineStr">
        <is>
          <t>Değer</t>
        </is>
      </c>
      <c r="C3" s="3" t="inlineStr">
        <is>
          <t>Not</t>
        </is>
      </c>
    </row>
    <row r="4">
      <c r="A4" s="8" t="inlineStr">
        <is>
          <t>Tavan yüksekliği</t>
        </is>
      </c>
      <c r="B4" s="45" t="inlineStr">
        <is>
          <t>3,20 m</t>
        </is>
      </c>
      <c r="C4" s="40" t="inlineStr">
        <is>
          <t>VARSAYIM — iç hacim, kanal güzergâhı ve armatür adedinin girdisi</t>
        </is>
      </c>
    </row>
    <row r="5">
      <c r="A5" s="4" t="inlineStr">
        <is>
          <t>Geometri doğruluğu</t>
        </is>
      </c>
      <c r="B5" s="46" t="inlineStr">
        <is>
          <t>±%3</t>
        </is>
      </c>
      <c r="C5" s="43" t="inlineStr">
        <is>
          <t>Raster paftadan vektörleştirme — DXF (R2010) ile kesinleştirilmeli</t>
        </is>
      </c>
    </row>
    <row r="6">
      <c r="A6" s="8" t="inlineStr">
        <is>
          <t>Net iç kullanım alanı</t>
        </is>
      </c>
      <c r="B6" s="45" t="inlineStr">
        <is>
          <t>103,78 m²</t>
        </is>
      </c>
      <c r="C6" s="40" t="inlineStr">
        <is>
          <t>Pafta m² etiketlerinden kalibre</t>
        </is>
      </c>
    </row>
    <row r="7">
      <c r="A7" s="47" t="inlineStr">
        <is>
          <t>Mevcut pano gücü / trifaze</t>
        </is>
      </c>
      <c r="B7" s="48" t="inlineStr">
        <is>
          <t>BİLİNMİYOR</t>
        </is>
      </c>
      <c r="C7" s="49" t="inlineStr">
        <is>
          <t>Talep 17,03 kW — 3×32 A gerekir; yetersizse 3–8 hafta güç artırımı</t>
        </is>
      </c>
    </row>
    <row r="8">
      <c r="A8" s="8" t="inlineStr">
        <is>
          <t>Temel topraklaması</t>
        </is>
      </c>
      <c r="B8" s="45" t="inlineStr">
        <is>
          <t>Yok varsayıldı</t>
        </is>
      </c>
      <c r="C8" s="40" t="inlineStr">
        <is>
          <t>Varsa 05.45 pozu iptal edilir</t>
        </is>
      </c>
    </row>
    <row r="9">
      <c r="A9" s="4" t="inlineStr">
        <is>
          <t>Kablo metrajları</t>
        </is>
      </c>
      <c r="B9" s="46" t="inlineStr">
        <is>
          <t>Güzergâh uzunluğundan</t>
        </is>
      </c>
      <c r="C9" s="43" t="inlineStr">
        <is>
          <t>Yaklaşık değer — DXF sonrası kesinleşir</t>
        </is>
      </c>
    </row>
    <row r="10">
      <c r="A10" s="8" t="inlineStr">
        <is>
          <t>Sıcak su çözümü</t>
        </is>
      </c>
      <c r="B10" s="45" t="inlineStr">
        <is>
          <t>2 × 6 kW ani ısıtıcı</t>
        </is>
      </c>
      <c r="C10" s="40" t="inlineStr">
        <is>
          <t>Boylere çevrilirse talep gücü ≈5 kW düşer, 3×25 A yeterli olur</t>
        </is>
      </c>
    </row>
    <row r="11">
      <c r="A11" s="4" t="inlineStr">
        <is>
          <t>Kamera kapsamı</t>
        </is>
      </c>
      <c r="B11" s="46" t="inlineStr">
        <is>
          <t>Soyunma ve WC HARİÇ</t>
        </is>
      </c>
      <c r="C11" s="43" t="inlineStr">
        <is>
          <t>Kişisel verilerin korunması — kapsam dışı bırakılmıştır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2026-09-19T20:26:30Z</dcterms:created>
  <dcterms:modified xsi:type="dcterms:W3CDTF">2026-09-19T20:26:30Z</dcterms:modified>
</cp:coreProperties>
</file>