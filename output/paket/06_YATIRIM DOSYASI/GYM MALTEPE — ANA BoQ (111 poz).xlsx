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· Özet" sheetId="1" state="visible" r:id="rId1"/>
    <sheet name="2 · Detay metraj" sheetId="2" state="visible" r:id="rId2"/>
    <sheet name="3 · Ekipman (işverence temin)" sheetId="3" state="visible" r:id="rId3"/>
    <sheet name="4 · Varsayımlar" sheetId="4" state="visible" r:id="rId4"/>
  </sheets>
  <definedNames>
    <definedName name="_xlnm._FilterDatabase" localSheetId="1" hidden="1">'2 · Detay metraj'!$A$3:$K$114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TL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color rgb="FF6B7078"/>
      <sz val="9"/>
    </font>
    <font>
      <name val="Calibri"/>
      <b val="1"/>
      <color rgb="FFFFFFFF"/>
      <sz val="10"/>
    </font>
    <font>
      <name val="Calibri"/>
      <b val="1"/>
      <color rgb="FF16273D"/>
      <sz val="9"/>
    </font>
    <font>
      <name val="Calibri"/>
      <color rgb="FF1C1C1C"/>
      <sz val="9"/>
    </font>
    <font>
      <name val="Calibri"/>
      <color rgb="FF16273D"/>
      <sz val="10"/>
    </font>
    <font>
      <name val="Calibri"/>
      <color rgb="FF8A8F98"/>
      <sz val="9"/>
    </font>
    <font>
      <name val="Calibri"/>
      <b val="1"/>
      <color rgb="FFFFFFFF"/>
      <sz val="11"/>
    </font>
    <font>
      <name val="Calibri"/>
      <color rgb="FFFFFFFF"/>
      <sz val="10"/>
    </font>
    <font>
      <name val="Calibri"/>
      <b val="1"/>
      <color rgb="FFFFFFFF"/>
      <sz val="16"/>
    </font>
    <font>
      <name val="Calibri"/>
      <b val="1"/>
      <color rgb="FF16273D"/>
      <sz val="11"/>
    </font>
    <font>
      <name val="Calibri"/>
      <b val="1"/>
      <color rgb="FF16273D"/>
      <sz val="10"/>
    </font>
    <font>
      <name val="Calibri"/>
      <color rgb="FF1C1C1C"/>
      <sz val="10"/>
    </font>
    <font>
      <name val="Calibri"/>
      <color rgb="FF8A8F98"/>
      <sz val="10"/>
    </font>
    <font>
      <name val="Calibri"/>
      <color rgb="FF6B7078"/>
      <sz val="10"/>
    </font>
    <font>
      <name val="Calibri"/>
      <b val="1"/>
      <color rgb="FFFFFFFF"/>
      <sz val="13"/>
    </font>
    <font>
      <name val="Calibri"/>
      <b val="1"/>
      <color rgb="FFFFFFFF"/>
      <sz val="12"/>
    </font>
  </fonts>
  <fills count="10">
    <fill>
      <patternFill/>
    </fill>
    <fill>
      <patternFill patternType="gray125"/>
    </fill>
    <fill>
      <patternFill patternType="solid">
        <fgColor rgb="FF16273D"/>
      </patternFill>
    </fill>
    <fill>
      <patternFill patternType="solid">
        <fgColor rgb="FFF4F5F7"/>
      </patternFill>
    </fill>
    <fill>
      <patternFill patternType="solid">
        <fgColor rgb="FF24405F"/>
      </patternFill>
    </fill>
    <fill>
      <patternFill patternType="solid">
        <fgColor rgb="FFFFF6E8"/>
      </patternFill>
    </fill>
    <fill>
      <patternFill patternType="solid">
        <fgColor rgb="FFFFFFFF"/>
      </patternFill>
    </fill>
    <fill>
      <patternFill patternType="solid">
        <fgColor rgb="FFFDF3EC"/>
      </patternFill>
    </fill>
    <fill>
      <patternFill patternType="solid">
        <fgColor rgb="FFB87333"/>
      </patternFill>
    </fill>
    <fill>
      <patternFill patternType="solid">
        <fgColor rgb="FFC8322B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0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/>
    </xf>
    <xf numFmtId="164" fontId="13" fillId="3" borderId="1" applyAlignment="1" pivotButton="0" quotePrefix="0" xfId="0">
      <alignment horizontal="right" vertical="center"/>
    </xf>
    <xf numFmtId="164" fontId="14" fillId="3" borderId="1" applyAlignment="1" pivotButton="0" quotePrefix="0" xfId="0">
      <alignment horizontal="right" vertical="center"/>
    </xf>
    <xf numFmtId="0" fontId="15" fillId="3" borderId="1" applyAlignment="1" pivotButton="0" quotePrefix="0" xfId="0">
      <alignment horizontal="center" vertical="center"/>
    </xf>
    <xf numFmtId="9" fontId="15" fillId="3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164" fontId="13" fillId="6" borderId="1" applyAlignment="1" pivotButton="0" quotePrefix="0" xfId="0">
      <alignment horizontal="right" vertical="center"/>
    </xf>
    <xf numFmtId="164" fontId="14" fillId="6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center"/>
    </xf>
    <xf numFmtId="164" fontId="8" fillId="2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9" fontId="8" fillId="2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left" vertical="center"/>
    </xf>
    <xf numFmtId="164" fontId="13" fillId="7" borderId="1" applyAlignment="1" pivotButton="0" quotePrefix="0" xfId="0">
      <alignment horizontal="right" vertical="center"/>
    </xf>
    <xf numFmtId="164" fontId="14" fillId="7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left" vertical="center"/>
    </xf>
    <xf numFmtId="164" fontId="16" fillId="8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164" fontId="17" fillId="8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right" vertical="center"/>
    </xf>
    <xf numFmtId="4" fontId="13" fillId="3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4" fontId="8" fillId="2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11" customWidth="1" min="5" max="5"/>
    <col width="10" customWidth="1" min="6" max="6"/>
  </cols>
  <sheetData>
    <row r="1">
      <c r="A1" s="1" t="inlineStr">
        <is>
          <t>MALTEPE / İDEALTEPE — GYM DÖNÜŞÜMÜ · MALİYET ÖZETİ</t>
        </is>
      </c>
    </row>
    <row r="2">
      <c r="A2" s="2" t="inlineStr">
        <is>
          <t>Rev G · 17 Eylül 2026 · Eylül 2026 · Aqua Florya / Saltbae kesin hakedişi (Mayıs 2025) birim fiyatları ×1,40 eskalasyonla · Ekipman işverence temin edilmiştir, bütçe dışıdır.</t>
        </is>
      </c>
    </row>
    <row r="4">
      <c r="A4" s="3" t="inlineStr">
        <is>
          <t>SENARYO SEÇİMİ</t>
        </is>
      </c>
      <c r="B4" s="4" t="inlineStr">
        <is>
          <t>ÖNERİLEN</t>
        </is>
      </c>
      <c r="C4" s="5" t="inlineStr">
        <is>
          <t>Açılır listeden seçin — tüm toplamlar anında yeniden hesaplanır</t>
        </is>
      </c>
      <c r="D4" s="3" t="inlineStr">
        <is>
          <t>ISLAK HACİM</t>
        </is>
      </c>
      <c r="E4" s="4" t="inlineStr">
        <is>
          <t>A</t>
        </is>
      </c>
      <c r="F4" s="5" t="inlineStr">
        <is>
          <t>A: zemin yükseltme · B: pompa</t>
        </is>
      </c>
    </row>
    <row r="6">
      <c r="A6" s="6" t="inlineStr">
        <is>
          <t>Maliyet başlığı</t>
        </is>
      </c>
      <c r="B6" s="6" t="inlineStr">
        <is>
          <t>Teklif tutarı (TL)</t>
        </is>
      </c>
      <c r="C6" s="6" t="inlineStr">
        <is>
          <t>Referans düşük (TL)</t>
        </is>
      </c>
      <c r="D6" s="6" t="inlineStr">
        <is>
          <t>Referans yüksek (TL)</t>
        </is>
      </c>
      <c r="E6" s="6" t="inlineStr">
        <is>
          <t>Poz adedi</t>
        </is>
      </c>
      <c r="F6" s="6" t="inlineStr">
        <is>
          <t>Pay (%)</t>
        </is>
      </c>
    </row>
    <row r="7">
      <c r="A7" s="7" t="inlineStr">
        <is>
          <t>YIKIM · SÖKÜM</t>
        </is>
      </c>
      <c r="B7" s="8">
        <f>'2 · Detay metraj'!G4+'2 · Detay metraj'!G5+'2 · Detay metraj'!G6+'2 · Detay metraj'!G7</f>
        <v/>
      </c>
      <c r="C7" s="9">
        <f>'2 · Detay metraj'!H4+'2 · Detay metraj'!H5+'2 · Detay metraj'!H6+'2 · Detay metraj'!H7</f>
        <v/>
      </c>
      <c r="D7" s="9">
        <f>'2 · Detay metraj'!I4+'2 · Detay metraj'!I5+'2 · Detay metraj'!I6+'2 · Detay metraj'!I7</f>
        <v/>
      </c>
      <c r="E7" s="10" t="n">
        <v>4</v>
      </c>
      <c r="F7" s="11">
        <f>IFERROR((C7+D7)/2/(($C$18+$D$18)/2),0)</f>
        <v/>
      </c>
    </row>
    <row r="8">
      <c r="A8" s="12" t="inlineStr">
        <is>
          <t>DUVAR · ALÇIPAN</t>
        </is>
      </c>
      <c r="B8" s="13">
        <f>'2 · Detay metraj'!G8+'2 · Detay metraj'!G9+'2 · Detay metraj'!G10+'2 · Detay metraj'!G11</f>
        <v/>
      </c>
      <c r="C8" s="14">
        <f>'2 · Detay metraj'!H8+'2 · Detay metraj'!H9+'2 · Detay metraj'!H10+'2 · Detay metraj'!H11</f>
        <v/>
      </c>
      <c r="D8" s="14">
        <f>'2 · Detay metraj'!I8+'2 · Detay metraj'!I9+'2 · Detay metraj'!I10+'2 · Detay metraj'!I11</f>
        <v/>
      </c>
      <c r="E8" s="15" t="n">
        <v>4</v>
      </c>
      <c r="F8" s="16">
        <f>IFERROR((C8+D8)/2/(($C$18+$D$18)/2),0)</f>
        <v/>
      </c>
    </row>
    <row r="9">
      <c r="A9" s="7" t="inlineStr">
        <is>
          <t>ISLAK HACİM</t>
        </is>
      </c>
      <c r="B9" s="8">
        <f>'2 · Detay metraj'!G12+'2 · Detay metraj'!G13+'2 · Detay metraj'!G14+'2 · Detay metraj'!G15+'2 · Detay metraj'!G16+'2 · Detay metraj'!G17+'2 · Detay metraj'!G18</f>
        <v/>
      </c>
      <c r="C9" s="9">
        <f>'2 · Detay metraj'!H12+'2 · Detay metraj'!H13+'2 · Detay metraj'!H14+'2 · Detay metraj'!H15+'2 · Detay metraj'!H16+'2 · Detay metraj'!H17+'2 · Detay metraj'!H18</f>
        <v/>
      </c>
      <c r="D9" s="9">
        <f>'2 · Detay metraj'!I12+'2 · Detay metraj'!I13+'2 · Detay metraj'!I14+'2 · Detay metraj'!I15+'2 · Detay metraj'!I16+'2 · Detay metraj'!I17+'2 · Detay metraj'!I18</f>
        <v/>
      </c>
      <c r="E9" s="10" t="n">
        <v>7</v>
      </c>
      <c r="F9" s="11">
        <f>IFERROR((C9+D9)/2/(($C$18+$D$18)/2),0)</f>
        <v/>
      </c>
    </row>
    <row r="10">
      <c r="A10" s="12" t="inlineStr">
        <is>
          <t>ZEMİN</t>
        </is>
      </c>
      <c r="B10" s="13">
        <f>'2 · Detay metraj'!G19+'2 · Detay metraj'!G20+'2 · Detay metraj'!G21+'2 · Detay metraj'!G22+'2 · Detay metraj'!G23</f>
        <v/>
      </c>
      <c r="C10" s="14">
        <f>'2 · Detay metraj'!H19+'2 · Detay metraj'!H20+'2 · Detay metraj'!H21+'2 · Detay metraj'!H22+'2 · Detay metraj'!H23</f>
        <v/>
      </c>
      <c r="D10" s="14">
        <f>'2 · Detay metraj'!I19+'2 · Detay metraj'!I20+'2 · Detay metraj'!I21+'2 · Detay metraj'!I22+'2 · Detay metraj'!I23</f>
        <v/>
      </c>
      <c r="E10" s="15" t="n">
        <v>5</v>
      </c>
      <c r="F10" s="16">
        <f>IFERROR((C10+D10)/2/(($C$18+$D$18)/2),0)</f>
        <v/>
      </c>
    </row>
    <row r="11">
      <c r="A11" s="7" t="inlineStr">
        <is>
          <t>ELEKTRİK</t>
        </is>
      </c>
      <c r="B11" s="8">
        <f>'2 · Detay metraj'!G79+'2 · Detay metraj'!G80+'2 · Detay metraj'!G81+'2 · Detay metraj'!G82+'2 · Detay metraj'!G83+'2 · Detay metraj'!G84+'2 · Detay metraj'!G85+'2 · Detay metraj'!G86+'2 · Detay metraj'!G87+'2 · Detay metraj'!G88+'2 · Detay metraj'!G89+'2 · Detay metraj'!G90+'2 · Detay metraj'!G91+'2 · Detay metraj'!G92+'2 · Detay metraj'!G93+'2 · Detay metraj'!G94+'2 · Detay metraj'!G95+'2 · Detay metraj'!G96+'2 · Detay metraj'!G97+'2 · Detay metraj'!G98+'2 · Detay metraj'!G99+'2 · Detay metraj'!G100+'2 · Detay metraj'!G101+'2 · Detay metraj'!G102+'2 · Detay metraj'!G103+'2 · Detay metraj'!G104+'2 · Detay metraj'!G105+'2 · Detay metraj'!G106+'2 · Detay metraj'!G107+'2 · Detay metraj'!G108+'2 · Detay metraj'!G109+'2 · Detay metraj'!G110+'2 · Detay metraj'!G111+'2 · Detay metraj'!G112+'2 · Detay metraj'!G113+'2 · Detay metraj'!G114</f>
        <v/>
      </c>
      <c r="C11" s="9">
        <f>'2 · Detay metraj'!H79+'2 · Detay metraj'!H80+'2 · Detay metraj'!H81+'2 · Detay metraj'!H82+'2 · Detay metraj'!H83+'2 · Detay metraj'!H84+'2 · Detay metraj'!H85+'2 · Detay metraj'!H86+'2 · Detay metraj'!H87+'2 · Detay metraj'!H88+'2 · Detay metraj'!H89+'2 · Detay metraj'!H90+'2 · Detay metraj'!H91+'2 · Detay metraj'!H92+'2 · Detay metraj'!H93+'2 · Detay metraj'!H94+'2 · Detay metraj'!H95+'2 · Detay metraj'!H96+'2 · Detay metraj'!H97+'2 · Detay metraj'!H98+'2 · Detay metraj'!H99+'2 · Detay metraj'!H100+'2 · Detay metraj'!H101+'2 · Detay metraj'!H102+'2 · Detay metraj'!H103+'2 · Detay metraj'!H104+'2 · Detay metraj'!H105+'2 · Detay metraj'!H106+'2 · Detay metraj'!H107+'2 · Detay metraj'!H108+'2 · Detay metraj'!H109+'2 · Detay metraj'!H110+'2 · Detay metraj'!H111+'2 · Detay metraj'!H112+'2 · Detay metraj'!H113+'2 · Detay metraj'!H114</f>
        <v/>
      </c>
      <c r="D11" s="9">
        <f>'2 · Detay metraj'!I79+'2 · Detay metraj'!I80+'2 · Detay metraj'!I81+'2 · Detay metraj'!I82+'2 · Detay metraj'!I83+'2 · Detay metraj'!I84+'2 · Detay metraj'!I85+'2 · Detay metraj'!I86+'2 · Detay metraj'!I87+'2 · Detay metraj'!I88+'2 · Detay metraj'!I89+'2 · Detay metraj'!I90+'2 · Detay metraj'!I91+'2 · Detay metraj'!I92+'2 · Detay metraj'!I93+'2 · Detay metraj'!I94+'2 · Detay metraj'!I95+'2 · Detay metraj'!I96+'2 · Detay metraj'!I97+'2 · Detay metraj'!I98+'2 · Detay metraj'!I99+'2 · Detay metraj'!I100+'2 · Detay metraj'!I101+'2 · Detay metraj'!I102+'2 · Detay metraj'!I103+'2 · Detay metraj'!I104+'2 · Detay metraj'!I105+'2 · Detay metraj'!I106+'2 · Detay metraj'!I107+'2 · Detay metraj'!I108+'2 · Detay metraj'!I109+'2 · Detay metraj'!I110+'2 · Detay metraj'!I111+'2 · Detay metraj'!I112+'2 · Detay metraj'!I113+'2 · Detay metraj'!I114</f>
        <v/>
      </c>
      <c r="E11" s="10" t="n">
        <v>36</v>
      </c>
      <c r="F11" s="11">
        <f>IFERROR((C11+D11)/2/(($C$18+$D$18)/2),0)</f>
        <v/>
      </c>
    </row>
    <row r="12">
      <c r="A12" s="12" t="inlineStr">
        <is>
          <t>MEKANİK</t>
        </is>
      </c>
      <c r="B12" s="13">
        <f>'2 · Detay metraj'!G42+'2 · Detay metraj'!G43+'2 · Detay metraj'!G44+'2 · Detay metraj'!G45+'2 · Detay metraj'!G46+'2 · Detay metraj'!G47+'2 · Detay metraj'!G48+'2 · Detay metraj'!G49+'2 · Detay metraj'!G50+'2 · Detay metraj'!G51+'2 · Detay metraj'!G52+'2 · Detay metraj'!G53+'2 · Detay metraj'!G54+'2 · Detay metraj'!G55+'2 · Detay metraj'!G56+'2 · Detay metraj'!G57+'2 · Detay metraj'!G58+'2 · Detay metraj'!G59+'2 · Detay metraj'!G60+'2 · Detay metraj'!G61+'2 · Detay metraj'!G62+'2 · Detay metraj'!G63+'2 · Detay metraj'!G64+'2 · Detay metraj'!G65+'2 · Detay metraj'!G66+'2 · Detay metraj'!G67+'2 · Detay metraj'!G68+'2 · Detay metraj'!G69+'2 · Detay metraj'!G70+'2 · Detay metraj'!G71+'2 · Detay metraj'!G72+'2 · Detay metraj'!G73+'2 · Detay metraj'!G74+'2 · Detay metraj'!G75+'2 · Detay metraj'!G76+'2 · Detay metraj'!G77+'2 · Detay metraj'!G78</f>
        <v/>
      </c>
      <c r="C12" s="14">
        <f>'2 · Detay metraj'!H42+'2 · Detay metraj'!H43+'2 · Detay metraj'!H44+'2 · Detay metraj'!H45+'2 · Detay metraj'!H46+'2 · Detay metraj'!H47+'2 · Detay metraj'!H48+'2 · Detay metraj'!H49+'2 · Detay metraj'!H50+'2 · Detay metraj'!H51+'2 · Detay metraj'!H52+'2 · Detay metraj'!H53+'2 · Detay metraj'!H54+'2 · Detay metraj'!H55+'2 · Detay metraj'!H56+'2 · Detay metraj'!H57+'2 · Detay metraj'!H58+'2 · Detay metraj'!H59+'2 · Detay metraj'!H60+'2 · Detay metraj'!H61+'2 · Detay metraj'!H62+'2 · Detay metraj'!H63+'2 · Detay metraj'!H64+'2 · Detay metraj'!H65+'2 · Detay metraj'!H66+'2 · Detay metraj'!H67+'2 · Detay metraj'!H68+'2 · Detay metraj'!H69+'2 · Detay metraj'!H70+'2 · Detay metraj'!H71+'2 · Detay metraj'!H72+'2 · Detay metraj'!H73+'2 · Detay metraj'!H74+'2 · Detay metraj'!H75+'2 · Detay metraj'!H76+'2 · Detay metraj'!H77+'2 · Detay metraj'!H78</f>
        <v/>
      </c>
      <c r="D12" s="14">
        <f>'2 · Detay metraj'!I42+'2 · Detay metraj'!I43+'2 · Detay metraj'!I44+'2 · Detay metraj'!I45+'2 · Detay metraj'!I46+'2 · Detay metraj'!I47+'2 · Detay metraj'!I48+'2 · Detay metraj'!I49+'2 · Detay metraj'!I50+'2 · Detay metraj'!I51+'2 · Detay metraj'!I52+'2 · Detay metraj'!I53+'2 · Detay metraj'!I54+'2 · Detay metraj'!I55+'2 · Detay metraj'!I56+'2 · Detay metraj'!I57+'2 · Detay metraj'!I58+'2 · Detay metraj'!I59+'2 · Detay metraj'!I60+'2 · Detay metraj'!I61+'2 · Detay metraj'!I62+'2 · Detay metraj'!I63+'2 · Detay metraj'!I64+'2 · Detay metraj'!I65+'2 · Detay metraj'!I66+'2 · Detay metraj'!I67+'2 · Detay metraj'!I68+'2 · Detay metraj'!I69+'2 · Detay metraj'!I70+'2 · Detay metraj'!I71+'2 · Detay metraj'!I72+'2 · Detay metraj'!I73+'2 · Detay metraj'!I74+'2 · Detay metraj'!I75+'2 · Detay metraj'!I76+'2 · Detay metraj'!I77+'2 · Detay metraj'!I78</f>
        <v/>
      </c>
      <c r="E12" s="15" t="n">
        <v>37</v>
      </c>
      <c r="F12" s="16">
        <f>IFERROR((C12+D12)/2/(($C$18+$D$18)/2),0)</f>
        <v/>
      </c>
    </row>
    <row r="13">
      <c r="A13" s="7" t="inlineStr">
        <is>
          <t>BOYA · DEKOR</t>
        </is>
      </c>
      <c r="B13" s="8">
        <f>'2 · Detay metraj'!G24+'2 · Detay metraj'!G25+'2 · Detay metraj'!G26+'2 · Detay metraj'!G27</f>
        <v/>
      </c>
      <c r="C13" s="9">
        <f>'2 · Detay metraj'!H24+'2 · Detay metraj'!H25+'2 · Detay metraj'!H26+'2 · Detay metraj'!H27</f>
        <v/>
      </c>
      <c r="D13" s="9">
        <f>'2 · Detay metraj'!I24+'2 · Detay metraj'!I25+'2 · Detay metraj'!I26+'2 · Detay metraj'!I27</f>
        <v/>
      </c>
      <c r="E13" s="10" t="n">
        <v>4</v>
      </c>
      <c r="F13" s="11">
        <f>IFERROR((C13+D13)/2/(($C$18+$D$18)/2),0)</f>
        <v/>
      </c>
    </row>
    <row r="14">
      <c r="A14" s="12" t="inlineStr">
        <is>
          <t>MARANGOZ</t>
        </is>
      </c>
      <c r="B14" s="13">
        <f>'2 · Detay metraj'!G28+'2 · Detay metraj'!G29+'2 · Detay metraj'!G30</f>
        <v/>
      </c>
      <c r="C14" s="14">
        <f>'2 · Detay metraj'!H28+'2 · Detay metraj'!H29+'2 · Detay metraj'!H30</f>
        <v/>
      </c>
      <c r="D14" s="14">
        <f>'2 · Detay metraj'!I28+'2 · Detay metraj'!I29+'2 · Detay metraj'!I30</f>
        <v/>
      </c>
      <c r="E14" s="15" t="n">
        <v>3</v>
      </c>
      <c r="F14" s="16">
        <f>IFERROR((C14+D14)/2/(($C$18+$D$18)/2),0)</f>
        <v/>
      </c>
    </row>
    <row r="15">
      <c r="A15" s="7" t="inlineStr">
        <is>
          <t>DOĞRAMA</t>
        </is>
      </c>
      <c r="B15" s="8">
        <f>'2 · Detay metraj'!G37+'2 · Detay metraj'!G38+'2 · Detay metraj'!G39+'2 · Detay metraj'!G40+'2 · Detay metraj'!G41</f>
        <v/>
      </c>
      <c r="C15" s="9">
        <f>'2 · Detay metraj'!H37+'2 · Detay metraj'!H38+'2 · Detay metraj'!H39+'2 · Detay metraj'!H40+'2 · Detay metraj'!H41</f>
        <v/>
      </c>
      <c r="D15" s="9">
        <f>'2 · Detay metraj'!I37+'2 · Detay metraj'!I38+'2 · Detay metraj'!I39+'2 · Detay metraj'!I40+'2 · Detay metraj'!I41</f>
        <v/>
      </c>
      <c r="E15" s="10" t="n">
        <v>5</v>
      </c>
      <c r="F15" s="11">
        <f>IFERROR((C15+D15)/2/(($C$18+$D$18)/2),0)</f>
        <v/>
      </c>
    </row>
    <row r="16">
      <c r="A16" s="12" t="inlineStr">
        <is>
          <t>YANGIN · GÜVENLİK</t>
        </is>
      </c>
      <c r="B16" s="13">
        <f>'2 · Detay metraj'!G31+'2 · Detay metraj'!G32+'2 · Detay metraj'!G33+'2 · Detay metraj'!G34</f>
        <v/>
      </c>
      <c r="C16" s="14">
        <f>'2 · Detay metraj'!H31+'2 · Detay metraj'!H32+'2 · Detay metraj'!H33+'2 · Detay metraj'!H34</f>
        <v/>
      </c>
      <c r="D16" s="14">
        <f>'2 · Detay metraj'!I31+'2 · Detay metraj'!I32+'2 · Detay metraj'!I33+'2 · Detay metraj'!I34</f>
        <v/>
      </c>
      <c r="E16" s="15" t="n">
        <v>4</v>
      </c>
      <c r="F16" s="16">
        <f>IFERROR((C16+D16)/2/(($C$18+$D$18)/2),0)</f>
        <v/>
      </c>
    </row>
    <row r="17">
      <c r="A17" s="7" t="inlineStr">
        <is>
          <t>TABELA · DIŞ</t>
        </is>
      </c>
      <c r="B17" s="8">
        <f>'2 · Detay metraj'!G35+'2 · Detay metraj'!G36</f>
        <v/>
      </c>
      <c r="C17" s="9">
        <f>'2 · Detay metraj'!H35+'2 · Detay metraj'!H36</f>
        <v/>
      </c>
      <c r="D17" s="9">
        <f>'2 · Detay metraj'!I35+'2 · Detay metraj'!I36</f>
        <v/>
      </c>
      <c r="E17" s="10" t="n">
        <v>2</v>
      </c>
      <c r="F17" s="11">
        <f>IFERROR((C17+D17)/2/(($C$18+$D$18)/2),0)</f>
        <v/>
      </c>
    </row>
    <row r="18">
      <c r="A18" s="17" t="inlineStr">
        <is>
          <t>İMALAT ARA TOPLAMI</t>
        </is>
      </c>
      <c r="B18" s="18">
        <f>SUM(B7:B17)</f>
        <v/>
      </c>
      <c r="C18" s="18">
        <f>SUM(C7:C17)</f>
        <v/>
      </c>
      <c r="D18" s="18">
        <f>SUM(D7:D17)</f>
        <v/>
      </c>
      <c r="E18" s="19" t="n">
        <v>111</v>
      </c>
      <c r="F18" s="20" t="n">
        <v>1</v>
      </c>
    </row>
    <row r="19">
      <c r="A19" s="21" t="inlineStr">
        <is>
          <t>Şantiye genel giderleri (%12)</t>
        </is>
      </c>
      <c r="B19" s="22">
        <f>B18*0.12</f>
        <v/>
      </c>
      <c r="C19" s="23">
        <f>C18*0.12</f>
        <v/>
      </c>
      <c r="D19" s="23">
        <f>D18*0.12</f>
        <v/>
      </c>
      <c r="E19" s="24" t="n"/>
      <c r="F19" s="24" t="n"/>
    </row>
    <row r="20">
      <c r="A20" s="21" t="inlineStr">
        <is>
          <t>Beklenmedik giderler (%15)</t>
        </is>
      </c>
      <c r="B20" s="22">
        <f>(B18+B19)*0.15</f>
        <v/>
      </c>
      <c r="C20" s="23">
        <f>(C18+C19)*0.15</f>
        <v/>
      </c>
      <c r="D20" s="23">
        <f>(D18+D19)*0.15</f>
        <v/>
      </c>
      <c r="E20" s="24" t="n"/>
      <c r="F20" s="24" t="n"/>
    </row>
    <row r="21">
      <c r="A21" s="25" t="inlineStr">
        <is>
          <t>GENEL TOPLAM</t>
        </is>
      </c>
      <c r="B21" s="26">
        <f>B18+B19+B20</f>
        <v/>
      </c>
      <c r="C21" s="26">
        <f>C18+C19+C20</f>
        <v/>
      </c>
      <c r="D21" s="26">
        <f>D18+D19+D20</f>
        <v/>
      </c>
      <c r="E21" s="25" t="n"/>
      <c r="F21" s="25" t="n"/>
    </row>
    <row r="23">
      <c r="A23" s="7" t="inlineStr">
        <is>
          <t>m² başına (net iç alan)</t>
        </is>
      </c>
      <c r="B23" s="8">
        <f>B21/103.78</f>
        <v/>
      </c>
      <c r="C23" s="8">
        <f>C21/103.78</f>
        <v/>
      </c>
      <c r="D23" s="8">
        <f>D21/103.78</f>
        <v/>
      </c>
    </row>
    <row r="25">
      <c r="A25" s="27" t="inlineStr">
        <is>
          <t>AÇILIŞ ÖNCESİ NAKİT İHTİYACI</t>
        </is>
      </c>
      <c r="B25" s="27" t="n"/>
      <c r="C25" s="27" t="n"/>
      <c r="D25" s="27" t="n"/>
      <c r="E25" s="27" t="n"/>
      <c r="F25" s="27" t="n"/>
    </row>
    <row r="26">
      <c r="A26" s="28" t="inlineStr">
        <is>
          <t>Tadilat (genel toplam)</t>
        </is>
      </c>
      <c r="B26" s="13">
        <f>B21</f>
        <v/>
      </c>
      <c r="C26" s="14">
        <f>C21</f>
        <v/>
      </c>
      <c r="D26" s="14">
        <f>D21</f>
        <v/>
      </c>
    </row>
    <row r="27">
      <c r="A27" s="29" t="inlineStr">
        <is>
          <t>Ruhsat · harç · GSİM tescil · itfaiye · sağlık raporu</t>
        </is>
      </c>
      <c r="B27" s="30" t="n"/>
      <c r="C27" s="9" t="n">
        <v>85000</v>
      </c>
      <c r="D27" s="9" t="n">
        <v>175000</v>
      </c>
      <c r="E27" s="29" t="n"/>
      <c r="F27" s="29" t="n"/>
    </row>
    <row r="28">
      <c r="A28" s="28" t="inlineStr">
        <is>
          <t>Proje / mimari onaylı 1/100 vaziyet planı · müşavirlik</t>
        </is>
      </c>
      <c r="B28" s="30" t="n"/>
      <c r="C28" s="14" t="n">
        <v>45000</v>
      </c>
      <c r="D28" s="14" t="n">
        <v>95000</v>
      </c>
      <c r="E28" s="28" t="n"/>
      <c r="F28" s="28" t="n"/>
    </row>
    <row r="29">
      <c r="A29" s="29" t="inlineStr">
        <is>
          <t>İlk 3 ay kira</t>
        </is>
      </c>
      <c r="B29" s="30" t="n"/>
      <c r="C29" s="9" t="n">
        <v>84000</v>
      </c>
      <c r="D29" s="9" t="n">
        <v>156000</v>
      </c>
      <c r="E29" s="29" t="n"/>
      <c r="F29" s="29" t="n"/>
    </row>
    <row r="30">
      <c r="A30" s="28" t="inlineStr">
        <is>
          <t>Depozito (3 ay)</t>
        </is>
      </c>
      <c r="B30" s="30" t="n"/>
      <c r="C30" s="14" t="n">
        <v>84000</v>
      </c>
      <c r="D30" s="14" t="n">
        <v>156000</v>
      </c>
      <c r="E30" s="28" t="n"/>
      <c r="F30" s="28" t="n"/>
    </row>
    <row r="31">
      <c r="A31" s="29" t="inlineStr">
        <is>
          <t>Personel (açılış öncesi 2 ay · 2 kişi)</t>
        </is>
      </c>
      <c r="B31" s="30" t="n"/>
      <c r="C31" s="9" t="n">
        <v>160000</v>
      </c>
      <c r="D31" s="9" t="n">
        <v>280000</v>
      </c>
      <c r="E31" s="29" t="n"/>
      <c r="F31" s="29" t="n"/>
    </row>
    <row r="32">
      <c r="A32" s="28" t="inlineStr">
        <is>
          <t>Pazarlama · açılış kampanyası · dijital</t>
        </is>
      </c>
      <c r="B32" s="30" t="n"/>
      <c r="C32" s="14" t="n">
        <v>95000</v>
      </c>
      <c r="D32" s="14" t="n">
        <v>210000</v>
      </c>
      <c r="E32" s="28" t="n"/>
      <c r="F32" s="28" t="n"/>
    </row>
    <row r="33">
      <c r="A33" s="29" t="inlineStr">
        <is>
          <t>Yazılım (üyelik/POS), sarf, ilk stok</t>
        </is>
      </c>
      <c r="B33" s="30" t="n"/>
      <c r="C33" s="9" t="n">
        <v>55000</v>
      </c>
      <c r="D33" s="9" t="n">
        <v>120000</v>
      </c>
      <c r="E33" s="29" t="n"/>
      <c r="F33" s="29" t="n"/>
    </row>
    <row r="34">
      <c r="A34" s="31" t="inlineStr">
        <is>
          <t>TOPLAM AÇILIŞ ÖNCESİ NAKİT</t>
        </is>
      </c>
      <c r="B34" s="32">
        <f>SUM(B26:B33)</f>
        <v/>
      </c>
      <c r="C34" s="32">
        <f>SUM(C26:C33)</f>
        <v/>
      </c>
      <c r="D34" s="32">
        <f>SUM(D26:D33)</f>
        <v/>
      </c>
      <c r="E34" s="31" t="n"/>
      <c r="F34" s="31" t="n"/>
    </row>
  </sheetData>
  <mergeCells count="2">
    <mergeCell ref="A2:F2"/>
    <mergeCell ref="A1:F1"/>
  </mergeCells>
  <dataValidations count="2">
    <dataValidation sqref="B4" showDropDown="0" showInputMessage="0" showErrorMessage="0" allowBlank="0" type="list">
      <formula1>"MİNİMUM,ÖNERİLEN"</formula1>
    </dataValidation>
    <dataValidation sqref="E4" showDropDown="0" showInputMessage="0" showErrorMessage="0" allowBlank="0" type="list">
      <formula1>"A,B"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52" customWidth="1" min="3" max="3"/>
    <col width="8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  <col width="10" customWidth="1" min="10" max="10"/>
    <col width="8" customWidth="1" min="11" max="11"/>
  </cols>
  <sheetData>
    <row r="1">
      <c r="A1" s="33" t="inlineStr">
        <is>
          <t>DETAY METRAJ VE KEŞİF — birim fiyat sütunlarını doldurun, tutarlar kendiliğinden hesaplanır</t>
        </is>
      </c>
    </row>
    <row r="2">
      <c r="A2" s="2" t="inlineStr">
        <is>
          <t>MALTEPE / İDEALTEPE — MOBİLYA MAĞAZASI → FONKSİYONEL ANTRENMAN STÜDYOSU · Rev G · 17 Eylül 2026 · Fiyat referansı: Eylül 2026 · Aqua Florya / Saltbae kesin hakedişi (Mayıs 2025) birim fiyatları ×1,40 eskalasyonla · Net iç alan 103.78 m²</t>
        </is>
      </c>
    </row>
    <row r="3">
      <c r="A3" s="6" t="inlineStr">
        <is>
          <t>Poz No</t>
        </is>
      </c>
      <c r="B3" s="6" t="inlineStr">
        <is>
          <t>Grup</t>
        </is>
      </c>
      <c r="C3" s="6" t="inlineStr">
        <is>
          <t>Tanım</t>
        </is>
      </c>
      <c r="D3" s="6" t="inlineStr">
        <is>
          <t>Birim</t>
        </is>
      </c>
      <c r="E3" s="6" t="inlineStr">
        <is>
          <t>Miktar</t>
        </is>
      </c>
      <c r="F3" s="6" t="inlineStr">
        <is>
          <t>Birim fiyat (TL)</t>
        </is>
      </c>
      <c r="G3" s="6" t="inlineStr">
        <is>
          <t>Tutar (TL)</t>
        </is>
      </c>
      <c r="H3" s="6" t="inlineStr">
        <is>
          <t>Referans düşük (TL)</t>
        </is>
      </c>
      <c r="I3" s="6" t="inlineStr">
        <is>
          <t>Referans yüksek (TL)</t>
        </is>
      </c>
      <c r="J3" s="6" t="inlineStr">
        <is>
          <t>Senaryo</t>
        </is>
      </c>
      <c r="K3" s="6" t="inlineStr">
        <is>
          <t>Dâhil</t>
        </is>
      </c>
    </row>
    <row r="4">
      <c r="A4" s="34" t="inlineStr">
        <is>
          <t>01.01</t>
        </is>
      </c>
      <c r="B4" s="2" t="inlineStr">
        <is>
          <t>YIKIM · SÖKÜM</t>
        </is>
      </c>
      <c r="C4" s="35" t="inlineStr">
        <is>
          <t>Mobilya mağazası raf/vitrin/tezgâh sökümü ve tasnifi</t>
        </is>
      </c>
      <c r="D4" s="36" t="inlineStr">
        <is>
          <t>m²</t>
        </is>
      </c>
      <c r="E4" s="37" t="n">
        <v>103.78</v>
      </c>
      <c r="F4" s="30" t="n"/>
      <c r="G4" s="38">
        <f>E4*F4*K4</f>
        <v/>
      </c>
      <c r="H4" s="39">
        <f>35285*K4</f>
        <v/>
      </c>
      <c r="I4" s="39">
        <f>60192*K4</f>
        <v/>
      </c>
      <c r="J4" s="40" t="inlineStr">
        <is>
          <t>M</t>
        </is>
      </c>
      <c r="K4" s="40" t="n">
        <v>1</v>
      </c>
    </row>
    <row r="5">
      <c r="A5" s="41" t="inlineStr">
        <is>
          <t>01.02</t>
        </is>
      </c>
      <c r="B5" s="5" t="inlineStr">
        <is>
          <t>YIKIM · SÖKÜM</t>
        </is>
      </c>
      <c r="C5" s="42" t="inlineStr">
        <is>
          <t>Mevcut zemin kaplaması sökümü ve şap tesviyesi</t>
        </is>
      </c>
      <c r="D5" s="43" t="inlineStr">
        <is>
          <t>m²</t>
        </is>
      </c>
      <c r="E5" s="44" t="n">
        <v>103.78</v>
      </c>
      <c r="F5" s="30" t="n"/>
      <c r="G5" s="45">
        <f>E5*F5*K5</f>
        <v/>
      </c>
      <c r="H5" s="46">
        <f>43588*K5</f>
        <v/>
      </c>
      <c r="I5" s="46">
        <f>67457*K5</f>
        <v/>
      </c>
      <c r="J5" s="47" t="inlineStr">
        <is>
          <t>M</t>
        </is>
      </c>
      <c r="K5" s="47" t="n">
        <v>1</v>
      </c>
    </row>
    <row r="6">
      <c r="A6" s="34" t="inlineStr">
        <is>
          <t>01.03</t>
        </is>
      </c>
      <c r="B6" s="2" t="inlineStr">
        <is>
          <t>YIKIM · SÖKÜM</t>
        </is>
      </c>
      <c r="C6" s="35" t="inlineStr">
        <is>
          <t>Islak hacim mevcut seramik + vitrifiye sökümü</t>
        </is>
      </c>
      <c r="D6" s="36" t="inlineStr">
        <is>
          <t>m²</t>
        </is>
      </c>
      <c r="E6" s="37" t="n">
        <v>16.73</v>
      </c>
      <c r="F6" s="30" t="n"/>
      <c r="G6" s="38">
        <f>E6*F6*K6</f>
        <v/>
      </c>
      <c r="H6" s="39">
        <f>10373*K6</f>
        <v/>
      </c>
      <c r="I6" s="39">
        <f>15894*K6</f>
        <v/>
      </c>
      <c r="J6" s="40" t="inlineStr">
        <is>
          <t>M</t>
        </is>
      </c>
      <c r="K6" s="40" t="n">
        <v>1</v>
      </c>
    </row>
    <row r="7">
      <c r="A7" s="41" t="inlineStr">
        <is>
          <t>01.04</t>
        </is>
      </c>
      <c r="B7" s="5" t="inlineStr">
        <is>
          <t>YIKIM · SÖKÜM</t>
        </is>
      </c>
      <c r="C7" s="42" t="inlineStr">
        <is>
          <t>Moloz yükleme, indirme ve nakliye (konteyner)</t>
        </is>
      </c>
      <c r="D7" s="43" t="inlineStr">
        <is>
          <t>götürü</t>
        </is>
      </c>
      <c r="E7" s="44" t="n">
        <v>1</v>
      </c>
      <c r="F7" s="30" t="n"/>
      <c r="G7" s="45">
        <f>E7*F7*K7</f>
        <v/>
      </c>
      <c r="H7" s="46">
        <f>48000*K7</f>
        <v/>
      </c>
      <c r="I7" s="46">
        <f>75000*K7</f>
        <v/>
      </c>
      <c r="J7" s="47" t="inlineStr">
        <is>
          <t>M</t>
        </is>
      </c>
      <c r="K7" s="47" t="n">
        <v>1</v>
      </c>
    </row>
    <row r="8">
      <c r="A8" s="34" t="inlineStr">
        <is>
          <t>02.01</t>
        </is>
      </c>
      <c r="B8" s="2" t="inlineStr">
        <is>
          <t>DUVAR · ALÇIPAN</t>
        </is>
      </c>
      <c r="C8" s="35" t="inlineStr">
        <is>
          <t>Alçıpan bölme duvar — 100 mm, çift kat, taşyünü dolgulu</t>
        </is>
      </c>
      <c r="D8" s="36" t="inlineStr">
        <is>
          <t>m²</t>
        </is>
      </c>
      <c r="E8" s="37" t="n">
        <v>44.6</v>
      </c>
      <c r="F8" s="30" t="n"/>
      <c r="G8" s="38">
        <f>E8*F8*K8</f>
        <v/>
      </c>
      <c r="H8" s="39">
        <f>138260*K8</f>
        <v/>
      </c>
      <c r="I8" s="39">
        <f>173940*K8</f>
        <v/>
      </c>
      <c r="J8" s="40" t="inlineStr">
        <is>
          <t>M</t>
        </is>
      </c>
      <c r="K8" s="40" t="n">
        <v>1</v>
      </c>
    </row>
    <row r="9">
      <c r="A9" s="41" t="inlineStr">
        <is>
          <t>02.02</t>
        </is>
      </c>
      <c r="B9" s="5" t="inlineStr">
        <is>
          <t>DUVAR · ALÇIPAN</t>
        </is>
      </c>
      <c r="C9" s="42" t="inlineStr">
        <is>
          <t>Islak hacim bölmelerinde yeşil alçıpan / betopan yükseltmesi</t>
        </is>
      </c>
      <c r="D9" s="43" t="inlineStr">
        <is>
          <t>m²</t>
        </is>
      </c>
      <c r="E9" s="44" t="n">
        <v>20.1</v>
      </c>
      <c r="F9" s="30" t="n"/>
      <c r="G9" s="45">
        <f>E9*F9*K9</f>
        <v/>
      </c>
      <c r="H9" s="46">
        <f>7035*K9</f>
        <v/>
      </c>
      <c r="I9" s="46">
        <f>10452*K9</f>
        <v/>
      </c>
      <c r="J9" s="47" t="inlineStr">
        <is>
          <t>M</t>
        </is>
      </c>
      <c r="K9" s="47" t="n">
        <v>1</v>
      </c>
    </row>
    <row r="10">
      <c r="A10" s="34" t="inlineStr">
        <is>
          <t>02.03</t>
        </is>
      </c>
      <c r="B10" s="2" t="inlineStr">
        <is>
          <t>DUVAR · ALÇIPAN</t>
        </is>
      </c>
      <c r="C10" s="35" t="inlineStr">
        <is>
          <t>Mevcut duvar tamiri, saten alçı ve yüzey hazırlığı</t>
        </is>
      </c>
      <c r="D10" s="36" t="inlineStr">
        <is>
          <t>m²</t>
        </is>
      </c>
      <c r="E10" s="37" t="n">
        <v>129.3</v>
      </c>
      <c r="F10" s="30" t="n"/>
      <c r="G10" s="38">
        <f>E10*F10*K10</f>
        <v/>
      </c>
      <c r="H10" s="39">
        <f>49134*K10</f>
        <v/>
      </c>
      <c r="I10" s="39">
        <f>72408*K10</f>
        <v/>
      </c>
      <c r="J10" s="40" t="inlineStr">
        <is>
          <t>M</t>
        </is>
      </c>
      <c r="K10" s="40" t="n">
        <v>1</v>
      </c>
    </row>
    <row r="11">
      <c r="A11" s="41" t="inlineStr">
        <is>
          <t>02.04</t>
        </is>
      </c>
      <c r="B11" s="5" t="inlineStr">
        <is>
          <t>DUVAR · ALÇIPAN</t>
        </is>
      </c>
      <c r="C11" s="42" t="inlineStr">
        <is>
          <t>Akustik asma tavan adası (arena üzeri) — 12 m²</t>
        </is>
      </c>
      <c r="D11" s="43" t="inlineStr">
        <is>
          <t>m²</t>
        </is>
      </c>
      <c r="E11" s="44" t="n">
        <v>12</v>
      </c>
      <c r="F11" s="30" t="n"/>
      <c r="G11" s="45">
        <f>E11*F11*K11</f>
        <v/>
      </c>
      <c r="H11" s="46">
        <f>31200*K11</f>
        <v/>
      </c>
      <c r="I11" s="46">
        <f>50400*K11</f>
        <v/>
      </c>
      <c r="J11" s="47" t="inlineStr">
        <is>
          <t>O</t>
        </is>
      </c>
      <c r="K11" s="47">
        <f>IF('1 · Özet'!$B$4="ÖNERİLEN",1,0)</f>
        <v/>
      </c>
    </row>
    <row r="12">
      <c r="A12" s="34" t="inlineStr">
        <is>
          <t>03.02</t>
        </is>
      </c>
      <c r="B12" s="2" t="inlineStr">
        <is>
          <t>ISLAK HACİM</t>
        </is>
      </c>
      <c r="C12" s="35" t="inlineStr">
        <is>
          <t>Su yalıtımı — çift bileşenli, dönüş 30 cm</t>
        </is>
      </c>
      <c r="D12" s="36" t="inlineStr">
        <is>
          <t>m²</t>
        </is>
      </c>
      <c r="E12" s="37" t="n">
        <v>24.3</v>
      </c>
      <c r="F12" s="30" t="n"/>
      <c r="G12" s="38">
        <f>E12*F12*K12</f>
        <v/>
      </c>
      <c r="H12" s="39">
        <f>19440*K12</f>
        <v/>
      </c>
      <c r="I12" s="39">
        <f>26730*K12</f>
        <v/>
      </c>
      <c r="J12" s="40" t="inlineStr">
        <is>
          <t>M</t>
        </is>
      </c>
      <c r="K12" s="40" t="n">
        <v>1</v>
      </c>
    </row>
    <row r="13">
      <c r="A13" s="41" t="inlineStr">
        <is>
          <t>03.03</t>
        </is>
      </c>
      <c r="B13" s="5" t="inlineStr">
        <is>
          <t>ISLAK HACİM</t>
        </is>
      </c>
      <c r="C13" s="42" t="inlineStr">
        <is>
          <t>Zemin seramiği R11 kaymaz (malzeme + işçilik)</t>
        </is>
      </c>
      <c r="D13" s="43" t="inlineStr">
        <is>
          <t>m²</t>
        </is>
      </c>
      <c r="E13" s="44" t="n">
        <v>16.73</v>
      </c>
      <c r="F13" s="30" t="n"/>
      <c r="G13" s="45">
        <f>E13*F13*K13</f>
        <v/>
      </c>
      <c r="H13" s="46">
        <f>28943*K13</f>
        <v/>
      </c>
      <c r="I13" s="46">
        <f>41825*K13</f>
        <v/>
      </c>
      <c r="J13" s="47" t="inlineStr">
        <is>
          <t>M</t>
        </is>
      </c>
      <c r="K13" s="47" t="n">
        <v>1</v>
      </c>
    </row>
    <row r="14">
      <c r="A14" s="34" t="inlineStr">
        <is>
          <t>03.04</t>
        </is>
      </c>
      <c r="B14" s="2" t="inlineStr">
        <is>
          <t>ISLAK HACİM</t>
        </is>
      </c>
      <c r="C14" s="35" t="inlineStr">
        <is>
          <t>Duvar fayansı h=2,20 m (malzeme + işçilik)</t>
        </is>
      </c>
      <c r="D14" s="36" t="inlineStr">
        <is>
          <t>m²</t>
        </is>
      </c>
      <c r="E14" s="37" t="n">
        <v>55.7</v>
      </c>
      <c r="F14" s="30" t="n"/>
      <c r="G14" s="38">
        <f>E14*F14*K14</f>
        <v/>
      </c>
      <c r="H14" s="39">
        <f>99982*K14</f>
        <v/>
      </c>
      <c r="I14" s="39">
        <f>147605*K14</f>
        <v/>
      </c>
      <c r="J14" s="40" t="inlineStr">
        <is>
          <t>M</t>
        </is>
      </c>
      <c r="K14" s="40" t="n">
        <v>1</v>
      </c>
    </row>
    <row r="15">
      <c r="A15" s="41" t="inlineStr">
        <is>
          <t>03.05</t>
        </is>
      </c>
      <c r="B15" s="5" t="inlineStr">
        <is>
          <t>ISLAK HACİM</t>
        </is>
      </c>
      <c r="C15" s="42" t="inlineStr">
        <is>
          <t>Vitrifiye seti — 2 klozet, 2 lavabo, armatürler</t>
        </is>
      </c>
      <c r="D15" s="43" t="inlineStr">
        <is>
          <t>takım</t>
        </is>
      </c>
      <c r="E15" s="44" t="n">
        <v>2</v>
      </c>
      <c r="F15" s="30" t="n"/>
      <c r="G15" s="45">
        <f>E15*F15*K15</f>
        <v/>
      </c>
      <c r="H15" s="46">
        <f>52000*K15</f>
        <v/>
      </c>
      <c r="I15" s="46">
        <f>96000*K15</f>
        <v/>
      </c>
      <c r="J15" s="47" t="inlineStr">
        <is>
          <t>M</t>
        </is>
      </c>
      <c r="K15" s="47" t="n">
        <v>1</v>
      </c>
    </row>
    <row r="16">
      <c r="A16" s="34" t="inlineStr">
        <is>
          <t>03.06</t>
        </is>
      </c>
      <c r="B16" s="2" t="inlineStr">
        <is>
          <t>ISLAK HACİM</t>
        </is>
      </c>
      <c r="C16" s="35" t="inlineStr">
        <is>
          <t>Duş teknesi + cam duşakabin (2 adet)</t>
        </is>
      </c>
      <c r="D16" s="36" t="inlineStr">
        <is>
          <t>adet</t>
        </is>
      </c>
      <c r="E16" s="37" t="n">
        <v>2</v>
      </c>
      <c r="F16" s="30" t="n"/>
      <c r="G16" s="38">
        <f>E16*F16*K16</f>
        <v/>
      </c>
      <c r="H16" s="39">
        <f>44000*K16</f>
        <v/>
      </c>
      <c r="I16" s="39">
        <f>80000*K16</f>
        <v/>
      </c>
      <c r="J16" s="40" t="inlineStr">
        <is>
          <t>M</t>
        </is>
      </c>
      <c r="K16" s="40" t="n">
        <v>1</v>
      </c>
    </row>
    <row r="17">
      <c r="A17" s="48" t="inlineStr">
        <is>
          <t>03.08</t>
        </is>
      </c>
      <c r="B17" s="49" t="inlineStr">
        <is>
          <t>ISLAK HACİM</t>
        </is>
      </c>
      <c r="C17" s="50" t="inlineStr">
        <is>
          <t>SEÇENEK A — ıslak hacim zemini 15–20 cm yükseltme (hafif dolgu + şap + basamak/rampa)</t>
        </is>
      </c>
      <c r="D17" s="51" t="inlineStr">
        <is>
          <t>m²</t>
        </is>
      </c>
      <c r="E17" s="52" t="n">
        <v>16.73</v>
      </c>
      <c r="F17" s="30" t="n"/>
      <c r="G17" s="53">
        <f>E17*F17*K17</f>
        <v/>
      </c>
      <c r="H17" s="54">
        <f>23422*K17</f>
        <v/>
      </c>
      <c r="I17" s="54">
        <f>38479*K17</f>
        <v/>
      </c>
      <c r="J17" s="55" t="inlineStr">
        <is>
          <t>A</t>
        </is>
      </c>
      <c r="K17" s="55">
        <f>IF('1 · Özet'!$E$4="A",1,0)</f>
        <v/>
      </c>
    </row>
    <row r="18">
      <c r="A18" s="48" t="inlineStr">
        <is>
          <t>03.09</t>
        </is>
      </c>
      <c r="B18" s="49" t="inlineStr">
        <is>
          <t>ISLAK HACİM</t>
        </is>
      </c>
      <c r="C18" s="50" t="inlineStr">
        <is>
          <t>SEÇENEK B — öğütücülü gri su / atık su pompası (2 ünite + hat)</t>
        </is>
      </c>
      <c r="D18" s="51" t="inlineStr">
        <is>
          <t>takım</t>
        </is>
      </c>
      <c r="E18" s="52" t="n">
        <v>1</v>
      </c>
      <c r="F18" s="30" t="n"/>
      <c r="G18" s="53">
        <f>E18*F18*K18</f>
        <v/>
      </c>
      <c r="H18" s="54">
        <f>95000*K18</f>
        <v/>
      </c>
      <c r="I18" s="54">
        <f>170000*K18</f>
        <v/>
      </c>
      <c r="J18" s="55" t="inlineStr">
        <is>
          <t>B</t>
        </is>
      </c>
      <c r="K18" s="55">
        <f>IF('1 · Özet'!$E$4="B",1,0)</f>
        <v/>
      </c>
    </row>
    <row r="19">
      <c r="A19" s="41" t="inlineStr">
        <is>
          <t>04.01</t>
        </is>
      </c>
      <c r="B19" s="5" t="inlineStr">
        <is>
          <t>ZEMİN</t>
        </is>
      </c>
      <c r="C19" s="42" t="inlineStr">
        <is>
          <t>Kauçuk karo 40 mm — arena / serbest ağırlık</t>
        </is>
      </c>
      <c r="D19" s="43" t="inlineStr">
        <is>
          <t>m²</t>
        </is>
      </c>
      <c r="E19" s="44" t="n">
        <v>31.76</v>
      </c>
      <c r="F19" s="30" t="n"/>
      <c r="G19" s="45">
        <f>E19*F19*K19</f>
        <v/>
      </c>
      <c r="H19" s="46">
        <f>87340*K19</f>
        <v/>
      </c>
      <c r="I19" s="46">
        <f>124499*K19</f>
        <v/>
      </c>
      <c r="J19" s="47" t="inlineStr">
        <is>
          <t>M</t>
        </is>
      </c>
      <c r="K19" s="47" t="n">
        <v>1</v>
      </c>
    </row>
    <row r="20">
      <c r="A20" s="34" t="inlineStr">
        <is>
          <t>04.02</t>
        </is>
      </c>
      <c r="B20" s="2" t="inlineStr">
        <is>
          <t>ZEMİN</t>
        </is>
      </c>
      <c r="C20" s="35" t="inlineStr">
        <is>
          <t>Titreşim matı 10 mm (arena altı — üst katta konut varsayımı)</t>
        </is>
      </c>
      <c r="D20" s="36" t="inlineStr">
        <is>
          <t>m²</t>
        </is>
      </c>
      <c r="E20" s="37" t="n">
        <v>31.76</v>
      </c>
      <c r="F20" s="30" t="n"/>
      <c r="G20" s="38">
        <f>E20*F20*K20</f>
        <v/>
      </c>
      <c r="H20" s="39">
        <f>26361*K20</f>
        <v/>
      </c>
      <c r="I20" s="39">
        <f>40018*K20</f>
        <v/>
      </c>
      <c r="J20" s="40" t="inlineStr">
        <is>
          <t>O</t>
        </is>
      </c>
      <c r="K20" s="40">
        <f>IF('1 · Özet'!$B$4="ÖNERİLEN",1,0)</f>
        <v/>
      </c>
    </row>
    <row r="21">
      <c r="A21" s="41" t="inlineStr">
        <is>
          <t>04.03</t>
        </is>
      </c>
      <c r="B21" s="5" t="inlineStr">
        <is>
          <t>ZEMİN</t>
        </is>
      </c>
      <c r="C21" s="42" t="inlineStr">
        <is>
          <t>Kauçuk karo 20 mm — fonksiyonel / kardiyo</t>
        </is>
      </c>
      <c r="D21" s="43" t="inlineStr">
        <is>
          <t>m²</t>
        </is>
      </c>
      <c r="E21" s="44" t="n">
        <v>22.31</v>
      </c>
      <c r="F21" s="30" t="n"/>
      <c r="G21" s="45">
        <f>E21*F21*K21</f>
        <v/>
      </c>
      <c r="H21" s="46">
        <f>36812*K21</f>
        <v/>
      </c>
      <c r="I21" s="46">
        <f>53544*K21</f>
        <v/>
      </c>
      <c r="J21" s="47" t="inlineStr">
        <is>
          <t>M</t>
        </is>
      </c>
      <c r="K21" s="47" t="n">
        <v>1</v>
      </c>
    </row>
    <row r="22">
      <c r="A22" s="34" t="inlineStr">
        <is>
          <t>04.04</t>
        </is>
      </c>
      <c r="B22" s="2" t="inlineStr">
        <is>
          <t>ZEMİN</t>
        </is>
      </c>
      <c r="C22" s="35" t="inlineStr">
        <is>
          <t>LVT / laminat parke — dinlenme + giriş / banko</t>
        </is>
      </c>
      <c r="D22" s="36" t="inlineStr">
        <is>
          <t>m²</t>
        </is>
      </c>
      <c r="E22" s="37" t="n">
        <v>32.98</v>
      </c>
      <c r="F22" s="30" t="n"/>
      <c r="G22" s="38">
        <f>E22*F22*K22</f>
        <v/>
      </c>
      <c r="H22" s="39">
        <f>45183*K22</f>
        <v/>
      </c>
      <c r="I22" s="39">
        <f>69918*K22</f>
        <v/>
      </c>
      <c r="J22" s="40" t="inlineStr">
        <is>
          <t>M</t>
        </is>
      </c>
      <c r="K22" s="40" t="n">
        <v>1</v>
      </c>
    </row>
    <row r="23">
      <c r="A23" s="41" t="inlineStr">
        <is>
          <t>04.05</t>
        </is>
      </c>
      <c r="B23" s="5" t="inlineStr">
        <is>
          <t>ZEMİN</t>
        </is>
      </c>
      <c r="C23" s="42" t="inlineStr">
        <is>
          <t>Süpürgelik, geçiş profilleri, eşikler</t>
        </is>
      </c>
      <c r="D23" s="43" t="inlineStr">
        <is>
          <t>m</t>
        </is>
      </c>
      <c r="E23" s="44" t="n">
        <v>71.5</v>
      </c>
      <c r="F23" s="30" t="n"/>
      <c r="G23" s="45">
        <f>E23*F23*K23</f>
        <v/>
      </c>
      <c r="H23" s="46">
        <f>25025*K23</f>
        <v/>
      </c>
      <c r="I23" s="46">
        <f>39325*K23</f>
        <v/>
      </c>
      <c r="J23" s="47" t="inlineStr">
        <is>
          <t>M</t>
        </is>
      </c>
      <c r="K23" s="47" t="n">
        <v>1</v>
      </c>
    </row>
    <row r="24">
      <c r="A24" s="34" t="inlineStr">
        <is>
          <t>07.01</t>
        </is>
      </c>
      <c r="B24" s="2" t="inlineStr">
        <is>
          <t>BOYA · DEKOR</t>
        </is>
      </c>
      <c r="C24" s="35" t="inlineStr">
        <is>
          <t>Silinebilir mat duvar boyası (astar + 2 kat)</t>
        </is>
      </c>
      <c r="D24" s="36" t="inlineStr">
        <is>
          <t>m²</t>
        </is>
      </c>
      <c r="E24" s="37" t="n">
        <v>129.3</v>
      </c>
      <c r="F24" s="30" t="n"/>
      <c r="G24" s="38">
        <f>E24*F24*K24</f>
        <v/>
      </c>
      <c r="H24" s="39">
        <f>49781*K24</f>
        <v/>
      </c>
      <c r="I24" s="39">
        <f>78873*K24</f>
        <v/>
      </c>
      <c r="J24" s="40" t="inlineStr">
        <is>
          <t>M</t>
        </is>
      </c>
      <c r="K24" s="40" t="n">
        <v>1</v>
      </c>
    </row>
    <row r="25">
      <c r="A25" s="41" t="inlineStr">
        <is>
          <t>07.02</t>
        </is>
      </c>
      <c r="B25" s="5" t="inlineStr">
        <is>
          <t>BOYA · DEKOR</t>
        </is>
      </c>
      <c r="C25" s="42" t="inlineStr">
        <is>
          <t>Tavan boyası / açık tavan siyah boya (endüstriyel)</t>
        </is>
      </c>
      <c r="D25" s="43" t="inlineStr">
        <is>
          <t>m²</t>
        </is>
      </c>
      <c r="E25" s="44" t="n">
        <v>103.78</v>
      </c>
      <c r="F25" s="30" t="n"/>
      <c r="G25" s="45">
        <f>E25*F25*K25</f>
        <v/>
      </c>
      <c r="H25" s="46">
        <f>42031*K25</f>
        <v/>
      </c>
      <c r="I25" s="46">
        <f>65381*K25</f>
        <v/>
      </c>
      <c r="J25" s="47" t="inlineStr">
        <is>
          <t>M</t>
        </is>
      </c>
      <c r="K25" s="47" t="n">
        <v>1</v>
      </c>
    </row>
    <row r="26">
      <c r="A26" s="34" t="inlineStr">
        <is>
          <t>07.03</t>
        </is>
      </c>
      <c r="B26" s="2" t="inlineStr">
        <is>
          <t>BOYA · DEKOR</t>
        </is>
      </c>
      <c r="C26" s="35" t="inlineStr">
        <is>
          <t>Ayna — arena ve fonksiyonel alan (6 mm, montaj dahil)</t>
        </is>
      </c>
      <c r="D26" s="36" t="inlineStr">
        <is>
          <t>m²</t>
        </is>
      </c>
      <c r="E26" s="37" t="n">
        <v>14</v>
      </c>
      <c r="F26" s="30" t="n"/>
      <c r="G26" s="38">
        <f>E26*F26*K26</f>
        <v/>
      </c>
      <c r="H26" s="39">
        <f>64400*K26</f>
        <v/>
      </c>
      <c r="I26" s="39">
        <f>103600*K26</f>
        <v/>
      </c>
      <c r="J26" s="40" t="inlineStr">
        <is>
          <t>O</t>
        </is>
      </c>
      <c r="K26" s="40">
        <f>IF('1 · Özet'!$B$4="ÖNERİLEN",1,0)</f>
        <v/>
      </c>
    </row>
    <row r="27">
      <c r="A27" s="41" t="inlineStr">
        <is>
          <t>07.04</t>
        </is>
      </c>
      <c r="B27" s="5" t="inlineStr">
        <is>
          <t>BOYA · DEKOR</t>
        </is>
      </c>
      <c r="C27" s="42" t="inlineStr">
        <is>
          <t>Duvar grafiği / marka uygulaması</t>
        </is>
      </c>
      <c r="D27" s="43" t="inlineStr">
        <is>
          <t>götürü</t>
        </is>
      </c>
      <c r="E27" s="44" t="n">
        <v>1</v>
      </c>
      <c r="F27" s="30" t="n"/>
      <c r="G27" s="45">
        <f>E27*F27*K27</f>
        <v/>
      </c>
      <c r="H27" s="46">
        <f>48000*K27</f>
        <v/>
      </c>
      <c r="I27" s="46">
        <f>95000*K27</f>
        <v/>
      </c>
      <c r="J27" s="47" t="inlineStr">
        <is>
          <t>O</t>
        </is>
      </c>
      <c r="K27" s="47">
        <f>IF('1 · Özet'!$B$4="ÖNERİLEN",1,0)</f>
        <v/>
      </c>
    </row>
    <row r="28">
      <c r="A28" s="34" t="inlineStr">
        <is>
          <t>08.01</t>
        </is>
      </c>
      <c r="B28" s="2" t="inlineStr">
        <is>
          <t>MARANGOZ</t>
        </is>
      </c>
      <c r="C28" s="35" t="inlineStr">
        <is>
          <t>Resepsiyon bankosu — 2,40 m, kompakt lamine tezgâh</t>
        </is>
      </c>
      <c r="D28" s="36" t="inlineStr">
        <is>
          <t>m</t>
        </is>
      </c>
      <c r="E28" s="37" t="n">
        <v>2.4</v>
      </c>
      <c r="F28" s="30" t="n"/>
      <c r="G28" s="38">
        <f>E28*F28*K28</f>
        <v/>
      </c>
      <c r="H28" s="39">
        <f>62400*K28</f>
        <v/>
      </c>
      <c r="I28" s="39">
        <f>103200*K28</f>
        <v/>
      </c>
      <c r="J28" s="40" t="inlineStr">
        <is>
          <t>M</t>
        </is>
      </c>
      <c r="K28" s="40" t="n">
        <v>1</v>
      </c>
    </row>
    <row r="29">
      <c r="A29" s="41" t="inlineStr">
        <is>
          <t>08.02</t>
        </is>
      </c>
      <c r="B29" s="5" t="inlineStr">
        <is>
          <t>MARANGOZ</t>
        </is>
      </c>
      <c r="C29" s="42" t="inlineStr">
        <is>
          <t>Soyunma dolabı / askılık — 24 göz (2 blok)</t>
        </is>
      </c>
      <c r="D29" s="43" t="inlineStr">
        <is>
          <t>göz</t>
        </is>
      </c>
      <c r="E29" s="44" t="n">
        <v>24</v>
      </c>
      <c r="F29" s="30" t="n"/>
      <c r="G29" s="45">
        <f>E29*F29*K29</f>
        <v/>
      </c>
      <c r="H29" s="46">
        <f>62400*K29</f>
        <v/>
      </c>
      <c r="I29" s="46">
        <f>105600*K29</f>
        <v/>
      </c>
      <c r="J29" s="47" t="inlineStr">
        <is>
          <t>M</t>
        </is>
      </c>
      <c r="K29" s="47" t="n">
        <v>1</v>
      </c>
    </row>
    <row r="30">
      <c r="A30" s="34" t="inlineStr">
        <is>
          <t>08.03</t>
        </is>
      </c>
      <c r="B30" s="2" t="inlineStr">
        <is>
          <t>MARANGOZ</t>
        </is>
      </c>
      <c r="C30" s="35" t="inlineStr">
        <is>
          <t>Oturma bankı (soyunma) + dinlenme mobilyası</t>
        </is>
      </c>
      <c r="D30" s="36" t="inlineStr">
        <is>
          <t>götürü</t>
        </is>
      </c>
      <c r="E30" s="37" t="n">
        <v>1</v>
      </c>
      <c r="F30" s="30" t="n"/>
      <c r="G30" s="38">
        <f>E30*F30*K30</f>
        <v/>
      </c>
      <c r="H30" s="39">
        <f>48000*K30</f>
        <v/>
      </c>
      <c r="I30" s="39">
        <f>92000*K30</f>
        <v/>
      </c>
      <c r="J30" s="40" t="inlineStr">
        <is>
          <t>O</t>
        </is>
      </c>
      <c r="K30" s="40">
        <f>IF('1 · Özet'!$B$4="ÖNERİLEN",1,0)</f>
        <v/>
      </c>
    </row>
    <row r="31">
      <c r="A31" s="41" t="inlineStr">
        <is>
          <t>09.01</t>
        </is>
      </c>
      <c r="B31" s="5" t="inlineStr">
        <is>
          <t>YANGIN · GÜVENLİK</t>
        </is>
      </c>
      <c r="C31" s="42" t="inlineStr">
        <is>
          <t>6 kg KKT yangın söndürücü + dolap + montaj</t>
        </is>
      </c>
      <c r="D31" s="43" t="inlineStr">
        <is>
          <t>adet</t>
        </is>
      </c>
      <c r="E31" s="44" t="n">
        <v>4</v>
      </c>
      <c r="F31" s="30" t="n"/>
      <c r="G31" s="45">
        <f>E31*F31*K31</f>
        <v/>
      </c>
      <c r="H31" s="46">
        <f>18000*K31</f>
        <v/>
      </c>
      <c r="I31" s="46">
        <f>30400*K31</f>
        <v/>
      </c>
      <c r="J31" s="47" t="inlineStr">
        <is>
          <t>M</t>
        </is>
      </c>
      <c r="K31" s="47" t="n">
        <v>1</v>
      </c>
    </row>
    <row r="32">
      <c r="A32" s="34" t="inlineStr">
        <is>
          <t>09.03</t>
        </is>
      </c>
      <c r="B32" s="2" t="inlineStr">
        <is>
          <t>YANGIN · GÜVENLİK</t>
        </is>
      </c>
      <c r="C32" s="35" t="inlineStr">
        <is>
          <t>Keskin köşe / kolon darbe hafifletici kaplama</t>
        </is>
      </c>
      <c r="D32" s="36" t="inlineStr">
        <is>
          <t>m</t>
        </is>
      </c>
      <c r="E32" s="37" t="n">
        <v>18</v>
      </c>
      <c r="F32" s="30" t="n"/>
      <c r="G32" s="38">
        <f>E32*F32*K32</f>
        <v/>
      </c>
      <c r="H32" s="39">
        <f>21600*K32</f>
        <v/>
      </c>
      <c r="I32" s="39">
        <f>37800*K32</f>
        <v/>
      </c>
      <c r="J32" s="40" t="inlineStr">
        <is>
          <t>M</t>
        </is>
      </c>
      <c r="K32" s="40" t="n">
        <v>1</v>
      </c>
    </row>
    <row r="33">
      <c r="A33" s="41" t="inlineStr">
        <is>
          <t>09.04</t>
        </is>
      </c>
      <c r="B33" s="5" t="inlineStr">
        <is>
          <t>YANGIN · GÜVENLİK</t>
        </is>
      </c>
      <c r="C33" s="42" t="inlineStr">
        <is>
          <t>Engelli erişimi — rampa, tutamak, kapı genişliği düzenlemesi</t>
        </is>
      </c>
      <c r="D33" s="43" t="inlineStr">
        <is>
          <t>götürü</t>
        </is>
      </c>
      <c r="E33" s="44" t="n">
        <v>1</v>
      </c>
      <c r="F33" s="30" t="n"/>
      <c r="G33" s="45">
        <f>E33*F33*K33</f>
        <v/>
      </c>
      <c r="H33" s="46">
        <f>42000*K33</f>
        <v/>
      </c>
      <c r="I33" s="46">
        <f>90000*K33</f>
        <v/>
      </c>
      <c r="J33" s="47" t="inlineStr">
        <is>
          <t>M</t>
        </is>
      </c>
      <c r="K33" s="47" t="n">
        <v>1</v>
      </c>
    </row>
    <row r="34">
      <c r="A34" s="34" t="inlineStr">
        <is>
          <t>09.05</t>
        </is>
      </c>
      <c r="B34" s="2" t="inlineStr">
        <is>
          <t>YANGIN · GÜVENLİK</t>
        </is>
      </c>
      <c r="C34" s="35" t="inlineStr">
        <is>
          <t>İlk yardım dolabı, AED, acil çıkış donanımı</t>
        </is>
      </c>
      <c r="D34" s="36" t="inlineStr">
        <is>
          <t>takım</t>
        </is>
      </c>
      <c r="E34" s="37" t="n">
        <v>1</v>
      </c>
      <c r="F34" s="30" t="n"/>
      <c r="G34" s="38">
        <f>E34*F34*K34</f>
        <v/>
      </c>
      <c r="H34" s="39">
        <f>34000*K34</f>
        <v/>
      </c>
      <c r="I34" s="39">
        <f>63000*K34</f>
        <v/>
      </c>
      <c r="J34" s="40" t="inlineStr">
        <is>
          <t>M</t>
        </is>
      </c>
      <c r="K34" s="40" t="n">
        <v>1</v>
      </c>
    </row>
    <row r="35">
      <c r="A35" s="41" t="inlineStr">
        <is>
          <t>10.01</t>
        </is>
      </c>
      <c r="B35" s="5" t="inlineStr">
        <is>
          <t>TABELA · DIŞ</t>
        </is>
      </c>
      <c r="C35" s="42" t="inlineStr">
        <is>
          <t>Işıklı kutu harf tabela + cephe folyo</t>
        </is>
      </c>
      <c r="D35" s="43" t="inlineStr">
        <is>
          <t>götürü</t>
        </is>
      </c>
      <c r="E35" s="44" t="n">
        <v>1</v>
      </c>
      <c r="F35" s="30" t="n"/>
      <c r="G35" s="45">
        <f>E35*F35*K35</f>
        <v/>
      </c>
      <c r="H35" s="46">
        <f>68000*K35</f>
        <v/>
      </c>
      <c r="I35" s="46">
        <f>135000*K35</f>
        <v/>
      </c>
      <c r="J35" s="47" t="inlineStr">
        <is>
          <t>O</t>
        </is>
      </c>
      <c r="K35" s="47">
        <f>IF('1 · Özet'!$B$4="ÖNERİLEN",1,0)</f>
        <v/>
      </c>
    </row>
    <row r="36">
      <c r="A36" s="34" t="inlineStr">
        <is>
          <t>10.02</t>
        </is>
      </c>
      <c r="B36" s="2" t="inlineStr">
        <is>
          <t>TABELA · DIŞ</t>
        </is>
      </c>
      <c r="C36" s="35" t="inlineStr">
        <is>
          <t>Cephe doğrama temizlik / bakım, giriş kapısı revizyonu</t>
        </is>
      </c>
      <c r="D36" s="36" t="inlineStr">
        <is>
          <t>götürü</t>
        </is>
      </c>
      <c r="E36" s="37" t="n">
        <v>1</v>
      </c>
      <c r="F36" s="30" t="n"/>
      <c r="G36" s="38">
        <f>E36*F36*K36</f>
        <v/>
      </c>
      <c r="H36" s="39">
        <f>50000*K36</f>
        <v/>
      </c>
      <c r="I36" s="39">
        <f>85000*K36</f>
        <v/>
      </c>
      <c r="J36" s="40" t="inlineStr">
        <is>
          <t>M</t>
        </is>
      </c>
      <c r="K36" s="40" t="n">
        <v>1</v>
      </c>
    </row>
    <row r="37">
      <c r="A37" s="41" t="inlineStr">
        <is>
          <t>11.01</t>
        </is>
      </c>
      <c r="B37" s="5" t="inlineStr">
        <is>
          <t>DOĞRAMA</t>
        </is>
      </c>
      <c r="C37" s="42" t="inlineStr">
        <is>
          <t>İç kapı K03 · K04 — panel kapı 90×210, kasa, pervaz ve donanım</t>
        </is>
      </c>
      <c r="D37" s="43" t="inlineStr">
        <is>
          <t>adet</t>
        </is>
      </c>
      <c r="E37" s="44" t="n">
        <v>2</v>
      </c>
      <c r="F37" s="30" t="n"/>
      <c r="G37" s="45">
        <f>E37*F37*K37</f>
        <v/>
      </c>
      <c r="H37" s="46">
        <f>37000*K37</f>
        <v/>
      </c>
      <c r="I37" s="46">
        <f>58000*K37</f>
        <v/>
      </c>
      <c r="J37" s="47" t="inlineStr">
        <is>
          <t>M</t>
        </is>
      </c>
      <c r="K37" s="47" t="n">
        <v>1</v>
      </c>
    </row>
    <row r="38">
      <c r="A38" s="34" t="inlineStr">
        <is>
          <t>11.02</t>
        </is>
      </c>
      <c r="B38" s="2" t="inlineStr">
        <is>
          <t>DOĞRAMA</t>
        </is>
      </c>
      <c r="C38" s="35" t="inlineStr">
        <is>
          <t>WC kapısı K05 · K06 — tam WPC 70×200, alt menfezli</t>
        </is>
      </c>
      <c r="D38" s="36" t="inlineStr">
        <is>
          <t>adet</t>
        </is>
      </c>
      <c r="E38" s="37" t="n">
        <v>2</v>
      </c>
      <c r="F38" s="30" t="n"/>
      <c r="G38" s="38">
        <f>E38*F38*K38</f>
        <v/>
      </c>
      <c r="H38" s="39">
        <f>30000*K38</f>
        <v/>
      </c>
      <c r="I38" s="39">
        <f>49000*K38</f>
        <v/>
      </c>
      <c r="J38" s="40" t="inlineStr">
        <is>
          <t>M</t>
        </is>
      </c>
      <c r="K38" s="40" t="n">
        <v>1</v>
      </c>
    </row>
    <row r="39">
      <c r="A39" s="41" t="inlineStr">
        <is>
          <t>11.03</t>
        </is>
      </c>
      <c r="B39" s="5" t="inlineStr">
        <is>
          <t>DOĞRAMA</t>
        </is>
      </c>
      <c r="C39" s="42" t="inlineStr">
        <is>
          <t>Duş kapağı K07 · K08 — 6 mm temperli cam 70×195</t>
        </is>
      </c>
      <c r="D39" s="43" t="inlineStr">
        <is>
          <t>adet</t>
        </is>
      </c>
      <c r="E39" s="44" t="n">
        <v>2</v>
      </c>
      <c r="F39" s="30" t="n"/>
      <c r="G39" s="45">
        <f>E39*F39*K39</f>
        <v/>
      </c>
      <c r="H39" s="46">
        <f>35000*K39</f>
        <v/>
      </c>
      <c r="I39" s="46">
        <f>56000*K39</f>
        <v/>
      </c>
      <c r="J39" s="47" t="inlineStr">
        <is>
          <t>M</t>
        </is>
      </c>
      <c r="K39" s="47" t="n">
        <v>1</v>
      </c>
    </row>
    <row r="40">
      <c r="A40" s="34" t="inlineStr">
        <is>
          <t>11.04</t>
        </is>
      </c>
      <c r="B40" s="2" t="inlineStr">
        <is>
          <t>DOĞRAMA</t>
        </is>
      </c>
      <c r="C40" s="35" t="inlineStr">
        <is>
          <t>Depo / teknik dolap kapağı K09 — havalandırma menfezli</t>
        </is>
      </c>
      <c r="D40" s="36" t="inlineStr">
        <is>
          <t>adet</t>
        </is>
      </c>
      <c r="E40" s="37" t="n">
        <v>1</v>
      </c>
      <c r="F40" s="30" t="n"/>
      <c r="G40" s="38">
        <f>E40*F40*K40</f>
        <v/>
      </c>
      <c r="H40" s="39">
        <f>9000*K40</f>
        <v/>
      </c>
      <c r="I40" s="39">
        <f>15000*K40</f>
        <v/>
      </c>
      <c r="J40" s="40" t="inlineStr">
        <is>
          <t>M</t>
        </is>
      </c>
      <c r="K40" s="40" t="n">
        <v>1</v>
      </c>
    </row>
    <row r="41">
      <c r="A41" s="41" t="inlineStr">
        <is>
          <t>11.05</t>
        </is>
      </c>
      <c r="B41" s="5" t="inlineStr">
        <is>
          <t>DOĞRAMA</t>
        </is>
      </c>
      <c r="C41" s="42" t="inlineStr">
        <is>
          <t>Acil çıkış kapısı K02 — panik bar (EN 1125), kapı kapatıcı</t>
        </is>
      </c>
      <c r="D41" s="43" t="inlineStr">
        <is>
          <t>adet</t>
        </is>
      </c>
      <c r="E41" s="44" t="n">
        <v>1</v>
      </c>
      <c r="F41" s="30" t="n"/>
      <c r="G41" s="45">
        <f>E41*F41*K41</f>
        <v/>
      </c>
      <c r="H41" s="46">
        <f>54000*K41</f>
        <v/>
      </c>
      <c r="I41" s="46">
        <f>88000*K41</f>
        <v/>
      </c>
      <c r="J41" s="47" t="inlineStr">
        <is>
          <t>M</t>
        </is>
      </c>
      <c r="K41" s="47" t="n">
        <v>1</v>
      </c>
    </row>
    <row r="42">
      <c r="A42" s="34" t="inlineStr">
        <is>
          <t>06.01</t>
        </is>
      </c>
      <c r="B42" s="2" t="inlineStr">
        <is>
          <t>MEKANİK</t>
        </is>
      </c>
      <c r="C42" s="35" t="inlineStr">
        <is>
          <t>Kanal tipi taze hava fanı — 1.000 m³/h / 250 Pa, hız kontrollü</t>
        </is>
      </c>
      <c r="D42" s="36" t="inlineStr">
        <is>
          <t>adet</t>
        </is>
      </c>
      <c r="E42" s="37" t="n">
        <v>1</v>
      </c>
      <c r="F42" s="30" t="n"/>
      <c r="G42" s="38">
        <f>E42*F42*K42</f>
        <v/>
      </c>
      <c r="H42" s="39">
        <f>18500*K42</f>
        <v/>
      </c>
      <c r="I42" s="39">
        <f>31000*K42</f>
        <v/>
      </c>
      <c r="J42" s="40" t="inlineStr">
        <is>
          <t>M</t>
        </is>
      </c>
      <c r="K42" s="40" t="n">
        <v>1</v>
      </c>
    </row>
    <row r="43">
      <c r="A43" s="41" t="inlineStr">
        <is>
          <t>06.02</t>
        </is>
      </c>
      <c r="B43" s="5" t="inlineStr">
        <is>
          <t>MEKANİK</t>
        </is>
      </c>
      <c r="C43" s="42" t="inlineStr">
        <is>
          <t>Kanal tipi egzoz fanı — 760 m³/h / 200 Pa</t>
        </is>
      </c>
      <c r="D43" s="43" t="inlineStr">
        <is>
          <t>adet</t>
        </is>
      </c>
      <c r="E43" s="44" t="n">
        <v>1</v>
      </c>
      <c r="F43" s="30" t="n"/>
      <c r="G43" s="45">
        <f>E43*F43*K43</f>
        <v/>
      </c>
      <c r="H43" s="46">
        <f>14500*K43</f>
        <v/>
      </c>
      <c r="I43" s="46">
        <f>24000*K43</f>
        <v/>
      </c>
      <c r="J43" s="47" t="inlineStr">
        <is>
          <t>M</t>
        </is>
      </c>
      <c r="K43" s="47" t="n">
        <v>1</v>
      </c>
    </row>
    <row r="44">
      <c r="A44" s="34" t="inlineStr">
        <is>
          <t>06.03</t>
        </is>
      </c>
      <c r="B44" s="2" t="inlineStr">
        <is>
          <t>MEKANİK</t>
        </is>
      </c>
      <c r="C44" s="35" t="inlineStr">
        <is>
          <t>Islak hacim egzoz fanı — 240 m³/h, sessiz tip, nem sensörlü</t>
        </is>
      </c>
      <c r="D44" s="36" t="inlineStr">
        <is>
          <t>adet</t>
        </is>
      </c>
      <c r="E44" s="37" t="n">
        <v>1</v>
      </c>
      <c r="F44" s="30" t="n"/>
      <c r="G44" s="38">
        <f>E44*F44*K44</f>
        <v/>
      </c>
      <c r="H44" s="39">
        <f>6500*K44</f>
        <v/>
      </c>
      <c r="I44" s="39">
        <f>11500*K44</f>
        <v/>
      </c>
      <c r="J44" s="40" t="inlineStr">
        <is>
          <t>M</t>
        </is>
      </c>
      <c r="K44" s="40" t="n">
        <v>1</v>
      </c>
    </row>
    <row r="45">
      <c r="A45" s="41" t="inlineStr">
        <is>
          <t>06.04</t>
        </is>
      </c>
      <c r="B45" s="5" t="inlineStr">
        <is>
          <t>MEKANİK</t>
        </is>
      </c>
      <c r="C45" s="42" t="inlineStr">
        <is>
          <t>Galvaniz dikdörtgen kanal 500×150 — besleme ana hattı</t>
        </is>
      </c>
      <c r="D45" s="43" t="inlineStr">
        <is>
          <t>m</t>
        </is>
      </c>
      <c r="E45" s="44" t="n">
        <v>16.8</v>
      </c>
      <c r="F45" s="30" t="n"/>
      <c r="G45" s="45">
        <f>E45*F45*K45</f>
        <v/>
      </c>
      <c r="H45" s="46">
        <f>22680*K45</f>
        <v/>
      </c>
      <c r="I45" s="46">
        <f>36960*K45</f>
        <v/>
      </c>
      <c r="J45" s="47" t="inlineStr">
        <is>
          <t>M</t>
        </is>
      </c>
      <c r="K45" s="47" t="n">
        <v>1</v>
      </c>
    </row>
    <row r="46">
      <c r="A46" s="34" t="inlineStr">
        <is>
          <t>06.05</t>
        </is>
      </c>
      <c r="B46" s="2" t="inlineStr">
        <is>
          <t>MEKANİK</t>
        </is>
      </c>
      <c r="C46" s="35" t="inlineStr">
        <is>
          <t>Galvaniz dikdörtgen kanal 400×150 — egzoz ana hattı</t>
        </is>
      </c>
      <c r="D46" s="36" t="inlineStr">
        <is>
          <t>m</t>
        </is>
      </c>
      <c r="E46" s="37" t="n">
        <v>10.5</v>
      </c>
      <c r="F46" s="30" t="n"/>
      <c r="G46" s="38">
        <f>E46*F46*K46</f>
        <v/>
      </c>
      <c r="H46" s="39">
        <f>12075*K46</f>
        <v/>
      </c>
      <c r="I46" s="39">
        <f>19950*K46</f>
        <v/>
      </c>
      <c r="J46" s="40" t="inlineStr">
        <is>
          <t>M</t>
        </is>
      </c>
      <c r="K46" s="40" t="n">
        <v>1</v>
      </c>
    </row>
    <row r="47">
      <c r="A47" s="41" t="inlineStr">
        <is>
          <t>06.06</t>
        </is>
      </c>
      <c r="B47" s="5" t="inlineStr">
        <is>
          <t>MEKANİK</t>
        </is>
      </c>
      <c r="C47" s="42" t="inlineStr">
        <is>
          <t>Spiro kanal Ø200 — menfez branşmanları</t>
        </is>
      </c>
      <c r="D47" s="43" t="inlineStr">
        <is>
          <t>m</t>
        </is>
      </c>
      <c r="E47" s="44" t="n">
        <v>4.4</v>
      </c>
      <c r="F47" s="30" t="n"/>
      <c r="G47" s="45">
        <f>E47*F47*K47</f>
        <v/>
      </c>
      <c r="H47" s="46">
        <f>2728*K47</f>
        <v/>
      </c>
      <c r="I47" s="46">
        <f>4620*K47</f>
        <v/>
      </c>
      <c r="J47" s="47" t="inlineStr">
        <is>
          <t>M</t>
        </is>
      </c>
      <c r="K47" s="47" t="n">
        <v>1</v>
      </c>
    </row>
    <row r="48">
      <c r="A48" s="34" t="inlineStr">
        <is>
          <t>06.06b</t>
        </is>
      </c>
      <c r="B48" s="2" t="inlineStr">
        <is>
          <t>MEKANİK</t>
        </is>
      </c>
      <c r="C48" s="35" t="inlineStr">
        <is>
          <t>Spiro kanal Ø125 — ıslak hacim valf branşmanları</t>
        </is>
      </c>
      <c r="D48" s="36" t="inlineStr">
        <is>
          <t>m</t>
        </is>
      </c>
      <c r="E48" s="37" t="n">
        <v>3</v>
      </c>
      <c r="F48" s="30" t="n"/>
      <c r="G48" s="38">
        <f>E48*F48*K48</f>
        <v/>
      </c>
      <c r="H48" s="39">
        <f>1260*K48</f>
        <v/>
      </c>
      <c r="I48" s="39">
        <f>2160*K48</f>
        <v/>
      </c>
      <c r="J48" s="40" t="inlineStr">
        <is>
          <t>M</t>
        </is>
      </c>
      <c r="K48" s="40" t="n">
        <v>1</v>
      </c>
    </row>
    <row r="49">
      <c r="A49" s="41" t="inlineStr">
        <is>
          <t>06.07</t>
        </is>
      </c>
      <c r="B49" s="5" t="inlineStr">
        <is>
          <t>MEKANİK</t>
        </is>
      </c>
      <c r="C49" s="42" t="inlineStr">
        <is>
          <t>Spiro kanal Ø160 — ıslak hacim egzoz hattı</t>
        </is>
      </c>
      <c r="D49" s="43" t="inlineStr">
        <is>
          <t>m</t>
        </is>
      </c>
      <c r="E49" s="44" t="n">
        <v>15</v>
      </c>
      <c r="F49" s="30" t="n"/>
      <c r="G49" s="45">
        <f>E49*F49*K49</f>
        <v/>
      </c>
      <c r="H49" s="46">
        <f>8100*K49</f>
        <v/>
      </c>
      <c r="I49" s="46">
        <f>13500*K49</f>
        <v/>
      </c>
      <c r="J49" s="47" t="inlineStr">
        <is>
          <t>M</t>
        </is>
      </c>
      <c r="K49" s="47" t="n">
        <v>1</v>
      </c>
    </row>
    <row r="50">
      <c r="A50" s="34" t="inlineStr">
        <is>
          <t>06.08</t>
        </is>
      </c>
      <c r="B50" s="2" t="inlineStr">
        <is>
          <t>MEKANİK</t>
        </is>
      </c>
      <c r="C50" s="35" t="inlineStr">
        <is>
          <t>Çift sıra ayarlı besleme menfezi 300×150 + plenum</t>
        </is>
      </c>
      <c r="D50" s="36" t="inlineStr">
        <is>
          <t>adet</t>
        </is>
      </c>
      <c r="E50" s="37" t="n">
        <v>4</v>
      </c>
      <c r="F50" s="30" t="n"/>
      <c r="G50" s="38">
        <f>E50*F50*K50</f>
        <v/>
      </c>
      <c r="H50" s="39">
        <f>9600*K50</f>
        <v/>
      </c>
      <c r="I50" s="39">
        <f>15600*K50</f>
        <v/>
      </c>
      <c r="J50" s="40" t="inlineStr">
        <is>
          <t>M</t>
        </is>
      </c>
      <c r="K50" s="40" t="n">
        <v>1</v>
      </c>
    </row>
    <row r="51">
      <c r="A51" s="41" t="inlineStr">
        <is>
          <t>06.09</t>
        </is>
      </c>
      <c r="B51" s="5" t="inlineStr">
        <is>
          <t>MEKANİK</t>
        </is>
      </c>
      <c r="C51" s="42" t="inlineStr">
        <is>
          <t>Egzoz menfezi 300×150 + plenum</t>
        </is>
      </c>
      <c r="D51" s="43" t="inlineStr">
        <is>
          <t>adet</t>
        </is>
      </c>
      <c r="E51" s="44" t="n">
        <v>3</v>
      </c>
      <c r="F51" s="30" t="n"/>
      <c r="G51" s="45">
        <f>E51*F51*K51</f>
        <v/>
      </c>
      <c r="H51" s="46">
        <f>6300*K51</f>
        <v/>
      </c>
      <c r="I51" s="46">
        <f>10200*K51</f>
        <v/>
      </c>
      <c r="J51" s="47" t="inlineStr">
        <is>
          <t>M</t>
        </is>
      </c>
      <c r="K51" s="47" t="n">
        <v>1</v>
      </c>
    </row>
    <row r="52">
      <c r="A52" s="34" t="inlineStr">
        <is>
          <t>06.10</t>
        </is>
      </c>
      <c r="B52" s="2" t="inlineStr">
        <is>
          <t>MEKANİK</t>
        </is>
      </c>
      <c r="C52" s="35" t="inlineStr">
        <is>
          <t>Tavan egzoz valfi Ø160 (duş / WC)</t>
        </is>
      </c>
      <c r="D52" s="36" t="inlineStr">
        <is>
          <t>adet</t>
        </is>
      </c>
      <c r="E52" s="37" t="n">
        <v>4</v>
      </c>
      <c r="F52" s="30" t="n"/>
      <c r="G52" s="38">
        <f>E52*F52*K52</f>
        <v/>
      </c>
      <c r="H52" s="39">
        <f>3800*K52</f>
        <v/>
      </c>
      <c r="I52" s="39">
        <f>6400*K52</f>
        <v/>
      </c>
      <c r="J52" s="40" t="inlineStr">
        <is>
          <t>M</t>
        </is>
      </c>
      <c r="K52" s="40" t="n">
        <v>1</v>
      </c>
    </row>
    <row r="53">
      <c r="A53" s="41" t="inlineStr">
        <is>
          <t>06.11</t>
        </is>
      </c>
      <c r="B53" s="5" t="inlineStr">
        <is>
          <t>MEKANİK</t>
        </is>
      </c>
      <c r="C53" s="42" t="inlineStr">
        <is>
          <t>Debi ayar damperi (branşman başı)</t>
        </is>
      </c>
      <c r="D53" s="43" t="inlineStr">
        <is>
          <t>adet</t>
        </is>
      </c>
      <c r="E53" s="44" t="n">
        <v>7</v>
      </c>
      <c r="F53" s="30" t="n"/>
      <c r="G53" s="45">
        <f>E53*F53*K53</f>
        <v/>
      </c>
      <c r="H53" s="46">
        <f>8050*K53</f>
        <v/>
      </c>
      <c r="I53" s="46">
        <f>13300*K53</f>
        <v/>
      </c>
      <c r="J53" s="47" t="inlineStr">
        <is>
          <t>M</t>
        </is>
      </c>
      <c r="K53" s="47" t="n">
        <v>1</v>
      </c>
    </row>
    <row r="54">
      <c r="A54" s="34" t="inlineStr">
        <is>
          <t>06.12</t>
        </is>
      </c>
      <c r="B54" s="2" t="inlineStr">
        <is>
          <t>MEKANİK</t>
        </is>
      </c>
      <c r="C54" s="35" t="inlineStr">
        <is>
          <t>Kanal susturucusu 1.000 mm — besleme ve egzoz</t>
        </is>
      </c>
      <c r="D54" s="36" t="inlineStr">
        <is>
          <t>adet</t>
        </is>
      </c>
      <c r="E54" s="37" t="n">
        <v>2</v>
      </c>
      <c r="F54" s="30" t="n"/>
      <c r="G54" s="38">
        <f>E54*F54*K54</f>
        <v/>
      </c>
      <c r="H54" s="39">
        <f>13600*K54</f>
        <v/>
      </c>
      <c r="I54" s="39">
        <f>23000*K54</f>
        <v/>
      </c>
      <c r="J54" s="40" t="inlineStr">
        <is>
          <t>M</t>
        </is>
      </c>
      <c r="K54" s="40" t="n">
        <v>1</v>
      </c>
    </row>
    <row r="55">
      <c r="A55" s="41" t="inlineStr">
        <is>
          <t>06.13</t>
        </is>
      </c>
      <c r="B55" s="5" t="inlineStr">
        <is>
          <t>MEKANİK</t>
        </is>
      </c>
      <c r="C55" s="42" t="inlineStr">
        <is>
          <t>Dış hava / egzoz panjuru + kuş teli</t>
        </is>
      </c>
      <c r="D55" s="43" t="inlineStr">
        <is>
          <t>adet</t>
        </is>
      </c>
      <c r="E55" s="44" t="n">
        <v>3</v>
      </c>
      <c r="F55" s="30" t="n"/>
      <c r="G55" s="45">
        <f>E55*F55*K55</f>
        <v/>
      </c>
      <c r="H55" s="46">
        <f>9600*K55</f>
        <v/>
      </c>
      <c r="I55" s="46">
        <f>16200*K55</f>
        <v/>
      </c>
      <c r="J55" s="47" t="inlineStr">
        <is>
          <t>M</t>
        </is>
      </c>
      <c r="K55" s="47" t="n">
        <v>1</v>
      </c>
    </row>
    <row r="56">
      <c r="A56" s="34" t="inlineStr">
        <is>
          <t>06.14</t>
        </is>
      </c>
      <c r="B56" s="2" t="inlineStr">
        <is>
          <t>MEKANİK</t>
        </is>
      </c>
      <c r="C56" s="35" t="inlineStr">
        <is>
          <t>Kanal izolasyonu — 19 mm elastomerik kauçuk</t>
        </is>
      </c>
      <c r="D56" s="36" t="inlineStr">
        <is>
          <t>m²</t>
        </is>
      </c>
      <c r="E56" s="37" t="n">
        <v>35.5</v>
      </c>
      <c r="F56" s="30" t="n"/>
      <c r="G56" s="38">
        <f>E56*F56*K56</f>
        <v/>
      </c>
      <c r="H56" s="39">
        <f>27690*K56</f>
        <v/>
      </c>
      <c r="I56" s="39">
        <f>46150*K56</f>
        <v/>
      </c>
      <c r="J56" s="40" t="inlineStr">
        <is>
          <t>M</t>
        </is>
      </c>
      <c r="K56" s="40" t="n">
        <v>1</v>
      </c>
    </row>
    <row r="57">
      <c r="A57" s="41" t="inlineStr">
        <is>
          <t>06.15</t>
        </is>
      </c>
      <c r="B57" s="5" t="inlineStr">
        <is>
          <t>MEKANİK</t>
        </is>
      </c>
      <c r="C57" s="42" t="inlineStr">
        <is>
          <t>Kanal askı, taşıyıcı ve titreşim takozu</t>
        </is>
      </c>
      <c r="D57" s="43" t="inlineStr">
        <is>
          <t>m</t>
        </is>
      </c>
      <c r="E57" s="44" t="n">
        <v>42.3</v>
      </c>
      <c r="F57" s="30" t="n"/>
      <c r="G57" s="45">
        <f>E57*F57*K57</f>
        <v/>
      </c>
      <c r="H57" s="46">
        <f>13536*K57</f>
        <v/>
      </c>
      <c r="I57" s="46">
        <f>22842*K57</f>
        <v/>
      </c>
      <c r="J57" s="47" t="inlineStr">
        <is>
          <t>M</t>
        </is>
      </c>
      <c r="K57" s="47" t="n">
        <v>1</v>
      </c>
    </row>
    <row r="58">
      <c r="A58" s="34" t="inlineStr">
        <is>
          <t>06.16</t>
        </is>
      </c>
      <c r="B58" s="2" t="inlineStr">
        <is>
          <t>MEKANİK</t>
        </is>
      </c>
      <c r="C58" s="35" t="inlineStr">
        <is>
          <t>Hava debisi ölçümü, balanslama ve test raporu</t>
        </is>
      </c>
      <c r="D58" s="36" t="inlineStr">
        <is>
          <t>götürü</t>
        </is>
      </c>
      <c r="E58" s="37" t="n">
        <v>1</v>
      </c>
      <c r="F58" s="30" t="n"/>
      <c r="G58" s="38">
        <f>E58*F58*K58</f>
        <v/>
      </c>
      <c r="H58" s="39">
        <f>12000*K58</f>
        <v/>
      </c>
      <c r="I58" s="39">
        <f>22000*K58</f>
        <v/>
      </c>
      <c r="J58" s="40" t="inlineStr">
        <is>
          <t>M</t>
        </is>
      </c>
      <c r="K58" s="40" t="n">
        <v>1</v>
      </c>
    </row>
    <row r="59">
      <c r="A59" s="48" t="inlineStr">
        <is>
          <t>06.17</t>
        </is>
      </c>
      <c r="B59" s="49" t="inlineStr">
        <is>
          <t>MEKANİK</t>
        </is>
      </c>
      <c r="C59" s="50" t="inlineStr">
        <is>
          <t>SEÇENEK — ısı geri kazanımlı taze hava ünitesi 1.000 m³/h (%75 verim)</t>
        </is>
      </c>
      <c r="D59" s="51" t="inlineStr">
        <is>
          <t>adet</t>
        </is>
      </c>
      <c r="E59" s="52" t="n">
        <v>1</v>
      </c>
      <c r="F59" s="30" t="n"/>
      <c r="G59" s="53">
        <f>E59*F59*K59</f>
        <v/>
      </c>
      <c r="H59" s="54">
        <f>95000*K59</f>
        <v/>
      </c>
      <c r="I59" s="54">
        <f>165000*K59</f>
        <v/>
      </c>
      <c r="J59" s="55" t="inlineStr">
        <is>
          <t>X</t>
        </is>
      </c>
      <c r="K59" s="55" t="inlineStr">
        <is>
          <t>0</t>
        </is>
      </c>
    </row>
    <row r="60">
      <c r="A60" s="34" t="inlineStr">
        <is>
          <t>06.20</t>
        </is>
      </c>
      <c r="B60" s="2" t="inlineStr">
        <is>
          <t>MEKANİK</t>
        </is>
      </c>
      <c r="C60" s="35" t="inlineStr">
        <is>
          <t>Duvar tipi inverter split klima 24.000 BTU (iç + dış ünite)</t>
        </is>
      </c>
      <c r="D60" s="36" t="inlineStr">
        <is>
          <t>adet</t>
        </is>
      </c>
      <c r="E60" s="37" t="n">
        <v>1</v>
      </c>
      <c r="F60" s="30" t="n"/>
      <c r="G60" s="38">
        <f>E60*F60*K60</f>
        <v/>
      </c>
      <c r="H60" s="39">
        <f>34000*K60</f>
        <v/>
      </c>
      <c r="I60" s="39">
        <f>55000*K60</f>
        <v/>
      </c>
      <c r="J60" s="40" t="inlineStr">
        <is>
          <t>M</t>
        </is>
      </c>
      <c r="K60" s="40" t="n">
        <v>1</v>
      </c>
    </row>
    <row r="61">
      <c r="A61" s="41" t="inlineStr">
        <is>
          <t>06.21</t>
        </is>
      </c>
      <c r="B61" s="5" t="inlineStr">
        <is>
          <t>MEKANİK</t>
        </is>
      </c>
      <c r="C61" s="42" t="inlineStr">
        <is>
          <t>Duvar tipi inverter split klima 18.000 BTU (iç + dış ünite)</t>
        </is>
      </c>
      <c r="D61" s="43" t="inlineStr">
        <is>
          <t>adet</t>
        </is>
      </c>
      <c r="E61" s="44" t="n">
        <v>1</v>
      </c>
      <c r="F61" s="30" t="n"/>
      <c r="G61" s="45">
        <f>E61*F61*K61</f>
        <v/>
      </c>
      <c r="H61" s="46">
        <f>27000*K61</f>
        <v/>
      </c>
      <c r="I61" s="46">
        <f>44000*K61</f>
        <v/>
      </c>
      <c r="J61" s="47" t="inlineStr">
        <is>
          <t>M</t>
        </is>
      </c>
      <c r="K61" s="47" t="n">
        <v>1</v>
      </c>
    </row>
    <row r="62">
      <c r="A62" s="34" t="inlineStr">
        <is>
          <t>06.22</t>
        </is>
      </c>
      <c r="B62" s="2" t="inlineStr">
        <is>
          <t>MEKANİK</t>
        </is>
      </c>
      <c r="C62" s="35" t="inlineStr">
        <is>
          <t>Duvar tipi inverter split klima 12.000 BTU (iç + dış ünite)</t>
        </is>
      </c>
      <c r="D62" s="36" t="inlineStr">
        <is>
          <t>adet</t>
        </is>
      </c>
      <c r="E62" s="37" t="n">
        <v>2</v>
      </c>
      <c r="F62" s="30" t="n"/>
      <c r="G62" s="38">
        <f>E62*F62*K62</f>
        <v/>
      </c>
      <c r="H62" s="39">
        <f>39000*K62</f>
        <v/>
      </c>
      <c r="I62" s="39">
        <f>64000*K62</f>
        <v/>
      </c>
      <c r="J62" s="40" t="inlineStr">
        <is>
          <t>M</t>
        </is>
      </c>
      <c r="K62" s="40" t="n">
        <v>1</v>
      </c>
    </row>
    <row r="63">
      <c r="A63" s="41" t="inlineStr">
        <is>
          <t>06.23</t>
        </is>
      </c>
      <c r="B63" s="5" t="inlineStr">
        <is>
          <t>MEKANİK</t>
        </is>
      </c>
      <c r="C63" s="42" t="inlineStr">
        <is>
          <t>Bakır boru seti (1/4"–5/8") + izolasyon + bağlantı kablosu</t>
        </is>
      </c>
      <c r="D63" s="43" t="inlineStr">
        <is>
          <t>m</t>
        </is>
      </c>
      <c r="E63" s="44" t="n">
        <v>35.8</v>
      </c>
      <c r="F63" s="30" t="n"/>
      <c r="G63" s="45">
        <f>E63*F63*K63</f>
        <v/>
      </c>
      <c r="H63" s="46">
        <f>39380*K63</f>
        <v/>
      </c>
      <c r="I63" s="46">
        <f>66230*K63</f>
        <v/>
      </c>
      <c r="J63" s="47" t="inlineStr">
        <is>
          <t>M</t>
        </is>
      </c>
      <c r="K63" s="47" t="n">
        <v>1</v>
      </c>
    </row>
    <row r="64">
      <c r="A64" s="34" t="inlineStr">
        <is>
          <t>06.24</t>
        </is>
      </c>
      <c r="B64" s="2" t="inlineStr">
        <is>
          <t>MEKANİK</t>
        </is>
      </c>
      <c r="C64" s="35" t="inlineStr">
        <is>
          <t>Dış ünite galvaniz montaj konsolu ve titreşim takozu</t>
        </is>
      </c>
      <c r="D64" s="36" t="inlineStr">
        <is>
          <t>adet</t>
        </is>
      </c>
      <c r="E64" s="37" t="n">
        <v>4</v>
      </c>
      <c r="F64" s="30" t="n"/>
      <c r="G64" s="38">
        <f>E64*F64*K64</f>
        <v/>
      </c>
      <c r="H64" s="39">
        <f>15200*K64</f>
        <v/>
      </c>
      <c r="I64" s="39">
        <f>24800*K64</f>
        <v/>
      </c>
      <c r="J64" s="40" t="inlineStr">
        <is>
          <t>M</t>
        </is>
      </c>
      <c r="K64" s="40" t="n">
        <v>1</v>
      </c>
    </row>
    <row r="65">
      <c r="A65" s="41" t="inlineStr">
        <is>
          <t>06.25</t>
        </is>
      </c>
      <c r="B65" s="5" t="inlineStr">
        <is>
          <t>MEKANİK</t>
        </is>
      </c>
      <c r="C65" s="42" t="inlineStr">
        <is>
          <t>Drenaj hattı PPRC Ø25 + izolasyon</t>
        </is>
      </c>
      <c r="D65" s="43" t="inlineStr">
        <is>
          <t>m</t>
        </is>
      </c>
      <c r="E65" s="44" t="n">
        <v>34.2</v>
      </c>
      <c r="F65" s="30" t="n"/>
      <c r="G65" s="45">
        <f>E65*F65*K65</f>
        <v/>
      </c>
      <c r="H65" s="46">
        <f>14364*K65</f>
        <v/>
      </c>
      <c r="I65" s="46">
        <f>24624*K65</f>
        <v/>
      </c>
      <c r="J65" s="47" t="inlineStr">
        <is>
          <t>M</t>
        </is>
      </c>
      <c r="K65" s="47" t="n">
        <v>1</v>
      </c>
    </row>
    <row r="66">
      <c r="A66" s="34" t="inlineStr">
        <is>
          <t>06.26</t>
        </is>
      </c>
      <c r="B66" s="2" t="inlineStr">
        <is>
          <t>MEKANİK</t>
        </is>
      </c>
      <c r="C66" s="35" t="inlineStr">
        <is>
          <t>Vakum, gaz şarjı, devreye alma ve test</t>
        </is>
      </c>
      <c r="D66" s="36" t="inlineStr">
        <is>
          <t>adet</t>
        </is>
      </c>
      <c r="E66" s="37" t="n">
        <v>4</v>
      </c>
      <c r="F66" s="30" t="n"/>
      <c r="G66" s="38">
        <f>E66*F66*K66</f>
        <v/>
      </c>
      <c r="H66" s="39">
        <f>12800*K66</f>
        <v/>
      </c>
      <c r="I66" s="39">
        <f>21600*K66</f>
        <v/>
      </c>
      <c r="J66" s="40" t="inlineStr">
        <is>
          <t>M</t>
        </is>
      </c>
      <c r="K66" s="40" t="n">
        <v>1</v>
      </c>
    </row>
    <row r="67">
      <c r="A67" s="41" t="inlineStr">
        <is>
          <t>06.30</t>
        </is>
      </c>
      <c r="B67" s="5" t="inlineStr">
        <is>
          <t>MEKANİK</t>
        </is>
      </c>
      <c r="C67" s="42" t="inlineStr">
        <is>
          <t>PPRC temiz su borusu Ø25 (ek parça ve montaj dahil)</t>
        </is>
      </c>
      <c r="D67" s="43" t="inlineStr">
        <is>
          <t>m</t>
        </is>
      </c>
      <c r="E67" s="44" t="n">
        <v>6.9</v>
      </c>
      <c r="F67" s="30" t="n"/>
      <c r="G67" s="45">
        <f>E67*F67*K67</f>
        <v/>
      </c>
      <c r="H67" s="46">
        <f>4278*K67</f>
        <v/>
      </c>
      <c r="I67" s="46">
        <f>7245*K67</f>
        <v/>
      </c>
      <c r="J67" s="47" t="inlineStr">
        <is>
          <t>M</t>
        </is>
      </c>
      <c r="K67" s="47" t="n">
        <v>1</v>
      </c>
    </row>
    <row r="68">
      <c r="A68" s="34" t="inlineStr">
        <is>
          <t>06.31</t>
        </is>
      </c>
      <c r="B68" s="2" t="inlineStr">
        <is>
          <t>MEKANİK</t>
        </is>
      </c>
      <c r="C68" s="35" t="inlineStr">
        <is>
          <t>PPRC temiz su borusu Ø20 (ek parça ve montaj dahil)</t>
        </is>
      </c>
      <c r="D68" s="36" t="inlineStr">
        <is>
          <t>m</t>
        </is>
      </c>
      <c r="E68" s="37" t="n">
        <v>3.1</v>
      </c>
      <c r="F68" s="30" t="n"/>
      <c r="G68" s="38">
        <f>E68*F68*K68</f>
        <v/>
      </c>
      <c r="H68" s="39">
        <f>1612*K68</f>
        <v/>
      </c>
      <c r="I68" s="39">
        <f>2728*K68</f>
        <v/>
      </c>
      <c r="J68" s="40" t="inlineStr">
        <is>
          <t>M</t>
        </is>
      </c>
      <c r="K68" s="40" t="n">
        <v>1</v>
      </c>
    </row>
    <row r="69">
      <c r="A69" s="41" t="inlineStr">
        <is>
          <t>06.32</t>
        </is>
      </c>
      <c r="B69" s="5" t="inlineStr">
        <is>
          <t>MEKANİK</t>
        </is>
      </c>
      <c r="C69" s="42" t="inlineStr">
        <is>
          <t>PPRC sıcak su hattı Ø20 + boru izolasyonu</t>
        </is>
      </c>
      <c r="D69" s="43" t="inlineStr">
        <is>
          <t>m</t>
        </is>
      </c>
      <c r="E69" s="44" t="n">
        <v>4.2</v>
      </c>
      <c r="F69" s="30" t="n"/>
      <c r="G69" s="45">
        <f>E69*F69*K69</f>
        <v/>
      </c>
      <c r="H69" s="46">
        <f>2856*K69</f>
        <v/>
      </c>
      <c r="I69" s="46">
        <f>4830*K69</f>
        <v/>
      </c>
      <c r="J69" s="47" t="inlineStr">
        <is>
          <t>M</t>
        </is>
      </c>
      <c r="K69" s="47" t="n">
        <v>1</v>
      </c>
    </row>
    <row r="70">
      <c r="A70" s="34" t="inlineStr">
        <is>
          <t>06.33</t>
        </is>
      </c>
      <c r="B70" s="2" t="inlineStr">
        <is>
          <t>MEKANİK</t>
        </is>
      </c>
      <c r="C70" s="35" t="inlineStr">
        <is>
          <t>PVC pis su borusu Ø100 (%2 eğimli, askılı)</t>
        </is>
      </c>
      <c r="D70" s="36" t="inlineStr">
        <is>
          <t>m</t>
        </is>
      </c>
      <c r="E70" s="37" t="n">
        <v>7.4</v>
      </c>
      <c r="F70" s="30" t="n"/>
      <c r="G70" s="38">
        <f>E70*F70*K70</f>
        <v/>
      </c>
      <c r="H70" s="39">
        <f>5772*K70</f>
        <v/>
      </c>
      <c r="I70" s="39">
        <f>9620*K70</f>
        <v/>
      </c>
      <c r="J70" s="40" t="inlineStr">
        <is>
          <t>M</t>
        </is>
      </c>
      <c r="K70" s="40" t="n">
        <v>1</v>
      </c>
    </row>
    <row r="71">
      <c r="A71" s="41" t="inlineStr">
        <is>
          <t>06.34</t>
        </is>
      </c>
      <c r="B71" s="5" t="inlineStr">
        <is>
          <t>MEKANİK</t>
        </is>
      </c>
      <c r="C71" s="42" t="inlineStr">
        <is>
          <t>PVC pis su borusu Ø70</t>
        </is>
      </c>
      <c r="D71" s="43" t="inlineStr">
        <is>
          <t>m</t>
        </is>
      </c>
      <c r="E71" s="44" t="n">
        <v>0.3</v>
      </c>
      <c r="F71" s="30" t="n"/>
      <c r="G71" s="45">
        <f>E71*F71*K71</f>
        <v/>
      </c>
      <c r="H71" s="46">
        <f>168*K71</f>
        <v/>
      </c>
      <c r="I71" s="46">
        <f>285*K71</f>
        <v/>
      </c>
      <c r="J71" s="47" t="inlineStr">
        <is>
          <t>M</t>
        </is>
      </c>
      <c r="K71" s="47" t="n">
        <v>1</v>
      </c>
    </row>
    <row r="72">
      <c r="A72" s="34" t="inlineStr">
        <is>
          <t>06.35</t>
        </is>
      </c>
      <c r="B72" s="2" t="inlineStr">
        <is>
          <t>MEKANİK</t>
        </is>
      </c>
      <c r="C72" s="35" t="inlineStr">
        <is>
          <t>PVC pis su borusu Ø50</t>
        </is>
      </c>
      <c r="D72" s="36" t="inlineStr">
        <is>
          <t>m</t>
        </is>
      </c>
      <c r="E72" s="37" t="n">
        <v>4.3</v>
      </c>
      <c r="F72" s="30" t="n"/>
      <c r="G72" s="38">
        <f>E72*F72*K72</f>
        <v/>
      </c>
      <c r="H72" s="39">
        <f>1849*K72</f>
        <v/>
      </c>
      <c r="I72" s="39">
        <f>3182*K72</f>
        <v/>
      </c>
      <c r="J72" s="40" t="inlineStr">
        <is>
          <t>M</t>
        </is>
      </c>
      <c r="K72" s="40" t="n">
        <v>1</v>
      </c>
    </row>
    <row r="73">
      <c r="A73" s="41" t="inlineStr">
        <is>
          <t>06.36</t>
        </is>
      </c>
      <c r="B73" s="5" t="inlineStr">
        <is>
          <t>MEKANİK</t>
        </is>
      </c>
      <c r="C73" s="42" t="inlineStr">
        <is>
          <t>Pis su havalandırma bacası Ø70 — çatı kotuna kadar</t>
        </is>
      </c>
      <c r="D73" s="43" t="inlineStr">
        <is>
          <t>m</t>
        </is>
      </c>
      <c r="E73" s="44" t="n">
        <v>9.5</v>
      </c>
      <c r="F73" s="30" t="n"/>
      <c r="G73" s="45">
        <f>E73*F73*K73</f>
        <v/>
      </c>
      <c r="H73" s="46">
        <f>5890*K73</f>
        <v/>
      </c>
      <c r="I73" s="46">
        <f>9975*K73</f>
        <v/>
      </c>
      <c r="J73" s="47" t="inlineStr">
        <is>
          <t>M</t>
        </is>
      </c>
      <c r="K73" s="47" t="n">
        <v>1</v>
      </c>
    </row>
    <row r="74">
      <c r="A74" s="34" t="inlineStr">
        <is>
          <t>06.37</t>
        </is>
      </c>
      <c r="B74" s="2" t="inlineStr">
        <is>
          <t>MEKANİK</t>
        </is>
      </c>
      <c r="C74" s="35" t="inlineStr">
        <is>
          <t>Paslanmaz sifonlu yer süzgeci 15×15</t>
        </is>
      </c>
      <c r="D74" s="36" t="inlineStr">
        <is>
          <t>adet</t>
        </is>
      </c>
      <c r="E74" s="37" t="n">
        <v>4</v>
      </c>
      <c r="F74" s="30" t="n"/>
      <c r="G74" s="38">
        <f>E74*F74*K74</f>
        <v/>
      </c>
      <c r="H74" s="39">
        <f>5800*K74</f>
        <v/>
      </c>
      <c r="I74" s="39">
        <f>9600*K74</f>
        <v/>
      </c>
      <c r="J74" s="40" t="inlineStr">
        <is>
          <t>M</t>
        </is>
      </c>
      <c r="K74" s="40" t="n">
        <v>1</v>
      </c>
    </row>
    <row r="75">
      <c r="A75" s="41" t="inlineStr">
        <is>
          <t>06.38</t>
        </is>
      </c>
      <c r="B75" s="5" t="inlineStr">
        <is>
          <t>MEKANİK</t>
        </is>
      </c>
      <c r="C75" s="42" t="inlineStr">
        <is>
          <t>Küresel vana Ø25 / Ø20 (kolon ve branşman kesme)</t>
        </is>
      </c>
      <c r="D75" s="43" t="inlineStr">
        <is>
          <t>adet</t>
        </is>
      </c>
      <c r="E75" s="44" t="n">
        <v>8</v>
      </c>
      <c r="F75" s="30" t="n"/>
      <c r="G75" s="45">
        <f>E75*F75*K75</f>
        <v/>
      </c>
      <c r="H75" s="46">
        <f>6240*K75</f>
        <v/>
      </c>
      <c r="I75" s="46">
        <f>10400*K75</f>
        <v/>
      </c>
      <c r="J75" s="47" t="inlineStr">
        <is>
          <t>M</t>
        </is>
      </c>
      <c r="K75" s="47" t="n">
        <v>1</v>
      </c>
    </row>
    <row r="76">
      <c r="A76" s="34" t="inlineStr">
        <is>
          <t>06.39</t>
        </is>
      </c>
      <c r="B76" s="2" t="inlineStr">
        <is>
          <t>MEKANİK</t>
        </is>
      </c>
      <c r="C76" s="35" t="inlineStr">
        <is>
          <t>Sayaç sonrası ana kesme vanası + pislik tutucu filtre</t>
        </is>
      </c>
      <c r="D76" s="36" t="inlineStr">
        <is>
          <t>takım</t>
        </is>
      </c>
      <c r="E76" s="37" t="n">
        <v>1</v>
      </c>
      <c r="F76" s="30" t="n"/>
      <c r="G76" s="38">
        <f>E76*F76*K76</f>
        <v/>
      </c>
      <c r="H76" s="39">
        <f>6500*K76</f>
        <v/>
      </c>
      <c r="I76" s="39">
        <f>11000*K76</f>
        <v/>
      </c>
      <c r="J76" s="40" t="inlineStr">
        <is>
          <t>M</t>
        </is>
      </c>
      <c r="K76" s="40" t="n">
        <v>1</v>
      </c>
    </row>
    <row r="77">
      <c r="A77" s="41" t="inlineStr">
        <is>
          <t>06.40</t>
        </is>
      </c>
      <c r="B77" s="5" t="inlineStr">
        <is>
          <t>MEKANİK</t>
        </is>
      </c>
      <c r="C77" s="42" t="inlineStr">
        <is>
          <t>Depolu elektrikli boyler 100 L / 3 kW, emaye kaplı, magnezyum anotlu (blok başına)</t>
        </is>
      </c>
      <c r="D77" s="43" t="inlineStr">
        <is>
          <t>adet</t>
        </is>
      </c>
      <c r="E77" s="44" t="n">
        <v>2</v>
      </c>
      <c r="F77" s="30" t="n"/>
      <c r="G77" s="45">
        <f>E77*F77*K77</f>
        <v/>
      </c>
      <c r="H77" s="46">
        <f>23000*K77</f>
        <v/>
      </c>
      <c r="I77" s="46">
        <f>39000*K77</f>
        <v/>
      </c>
      <c r="J77" s="47" t="inlineStr">
        <is>
          <t>M</t>
        </is>
      </c>
      <c r="K77" s="47" t="n">
        <v>1</v>
      </c>
    </row>
    <row r="78">
      <c r="A78" s="34" t="inlineStr">
        <is>
          <t>06.41</t>
        </is>
      </c>
      <c r="B78" s="2" t="inlineStr">
        <is>
          <t>MEKANİK</t>
        </is>
      </c>
      <c r="C78" s="35" t="inlineStr">
        <is>
          <t>Tesisat basınç testi, dezenfeksiyon ve teslim raporu</t>
        </is>
      </c>
      <c r="D78" s="36" t="inlineStr">
        <is>
          <t>götürü</t>
        </is>
      </c>
      <c r="E78" s="37" t="n">
        <v>1</v>
      </c>
      <c r="F78" s="30" t="n"/>
      <c r="G78" s="38">
        <f>E78*F78*K78</f>
        <v/>
      </c>
      <c r="H78" s="39">
        <f>9500*K78</f>
        <v/>
      </c>
      <c r="I78" s="39">
        <f>17000*K78</f>
        <v/>
      </c>
      <c r="J78" s="40" t="inlineStr">
        <is>
          <t>M</t>
        </is>
      </c>
      <c r="K78" s="40" t="n">
        <v>1</v>
      </c>
    </row>
    <row r="79">
      <c r="A79" s="41" t="inlineStr">
        <is>
          <t>05.01</t>
        </is>
      </c>
      <c r="B79" s="5" t="inlineStr">
        <is>
          <t>ELEKTRİK</t>
        </is>
      </c>
      <c r="C79" s="42" t="inlineStr">
        <is>
          <t>Ana dağıtım panosu — sıva üstü metal, 36 modül, montajlı</t>
        </is>
      </c>
      <c r="D79" s="43" t="inlineStr">
        <is>
          <t>adet</t>
        </is>
      </c>
      <c r="E79" s="44" t="n">
        <v>1</v>
      </c>
      <c r="F79" s="30" t="n"/>
      <c r="G79" s="45">
        <f>E79*F79*K79</f>
        <v/>
      </c>
      <c r="H79" s="46">
        <f>22000*K79</f>
        <v/>
      </c>
      <c r="I79" s="46">
        <f>37000*K79</f>
        <v/>
      </c>
      <c r="J79" s="47" t="inlineStr">
        <is>
          <t>M</t>
        </is>
      </c>
      <c r="K79" s="47" t="n">
        <v>1</v>
      </c>
    </row>
    <row r="80">
      <c r="A80" s="34" t="inlineStr">
        <is>
          <t>05.02</t>
        </is>
      </c>
      <c r="B80" s="2" t="inlineStr">
        <is>
          <t>ELEKTRİK</t>
        </is>
      </c>
      <c r="C80" s="35" t="inlineStr">
        <is>
          <t>Ana kesici 3×40 A, C eğrisi</t>
        </is>
      </c>
      <c r="D80" s="36" t="inlineStr">
        <is>
          <t>adet</t>
        </is>
      </c>
      <c r="E80" s="37" t="n">
        <v>1</v>
      </c>
      <c r="F80" s="30" t="n"/>
      <c r="G80" s="38">
        <f>E80*F80*K80</f>
        <v/>
      </c>
      <c r="H80" s="39">
        <f>3200*K80</f>
        <v/>
      </c>
      <c r="I80" s="39">
        <f>5400*K80</f>
        <v/>
      </c>
      <c r="J80" s="40" t="inlineStr">
        <is>
          <t>M</t>
        </is>
      </c>
      <c r="K80" s="40" t="n">
        <v>1</v>
      </c>
    </row>
    <row r="81">
      <c r="A81" s="41" t="inlineStr">
        <is>
          <t>05.03</t>
        </is>
      </c>
      <c r="B81" s="5" t="inlineStr">
        <is>
          <t>ELEKTRİK</t>
        </is>
      </c>
      <c r="C81" s="42" t="inlineStr">
        <is>
          <t>Kaçak akım rölesi 4×40 A / 30 mA (genel + ıslak hacim ayrı)</t>
        </is>
      </c>
      <c r="D81" s="43" t="inlineStr">
        <is>
          <t>adet</t>
        </is>
      </c>
      <c r="E81" s="44" t="n">
        <v>2</v>
      </c>
      <c r="F81" s="30" t="n"/>
      <c r="G81" s="45">
        <f>E81*F81*K81</f>
        <v/>
      </c>
      <c r="H81" s="46">
        <f>8400*K81</f>
        <v/>
      </c>
      <c r="I81" s="46">
        <f>14000*K81</f>
        <v/>
      </c>
      <c r="J81" s="47" t="inlineStr">
        <is>
          <t>M</t>
        </is>
      </c>
      <c r="K81" s="47" t="n">
        <v>1</v>
      </c>
    </row>
    <row r="82">
      <c r="A82" s="34" t="inlineStr">
        <is>
          <t>05.04</t>
        </is>
      </c>
      <c r="B82" s="2" t="inlineStr">
        <is>
          <t>ELEKTRİK</t>
        </is>
      </c>
      <c r="C82" s="35" t="inlineStr">
        <is>
          <t>Otomatik sigorta (1×6 / 1×10 / 1×16 / 1×32 A)</t>
        </is>
      </c>
      <c r="D82" s="36" t="inlineStr">
        <is>
          <t>adet</t>
        </is>
      </c>
      <c r="E82" s="37" t="n">
        <v>22</v>
      </c>
      <c r="F82" s="30" t="n"/>
      <c r="G82" s="38">
        <f>E82*F82*K82</f>
        <v/>
      </c>
      <c r="H82" s="39">
        <f>13640*K82</f>
        <v/>
      </c>
      <c r="I82" s="39">
        <f>23100*K82</f>
        <v/>
      </c>
      <c r="J82" s="40" t="inlineStr">
        <is>
          <t>M</t>
        </is>
      </c>
      <c r="K82" s="40" t="n">
        <v>1</v>
      </c>
    </row>
    <row r="83">
      <c r="A83" s="41" t="inlineStr">
        <is>
          <t>05.05</t>
        </is>
      </c>
      <c r="B83" s="5" t="inlineStr">
        <is>
          <t>ELEKTRİK</t>
        </is>
      </c>
      <c r="C83" s="42" t="inlineStr">
        <is>
          <t>Parafudr Tip 2 (aşırı gerilim koruma)</t>
        </is>
      </c>
      <c r="D83" s="43" t="inlineStr">
        <is>
          <t>adet</t>
        </is>
      </c>
      <c r="E83" s="44" t="n">
        <v>1</v>
      </c>
      <c r="F83" s="30" t="n"/>
      <c r="G83" s="45">
        <f>E83*F83*K83</f>
        <v/>
      </c>
      <c r="H83" s="46">
        <f>6800*K83</f>
        <v/>
      </c>
      <c r="I83" s="46">
        <f>11500*K83</f>
        <v/>
      </c>
      <c r="J83" s="47" t="inlineStr">
        <is>
          <t>M</t>
        </is>
      </c>
      <c r="K83" s="47" t="n">
        <v>1</v>
      </c>
    </row>
    <row r="84">
      <c r="A84" s="34" t="inlineStr">
        <is>
          <t>05.06</t>
        </is>
      </c>
      <c r="B84" s="2" t="inlineStr">
        <is>
          <t>ELEKTRİK</t>
        </is>
      </c>
      <c r="C84" s="35" t="inlineStr">
        <is>
          <t>NYY kolon hattı 5×10 mm² — sayaçtan panoya</t>
        </is>
      </c>
      <c r="D84" s="36" t="inlineStr">
        <is>
          <t>m</t>
        </is>
      </c>
      <c r="E84" s="37" t="n">
        <v>22</v>
      </c>
      <c r="F84" s="30" t="n"/>
      <c r="G84" s="38">
        <f>E84*F84*K84</f>
        <v/>
      </c>
      <c r="H84" s="39">
        <f>17160*K84</f>
        <v/>
      </c>
      <c r="I84" s="39">
        <f>28600*K84</f>
        <v/>
      </c>
      <c r="J84" s="40" t="inlineStr">
        <is>
          <t>M</t>
        </is>
      </c>
      <c r="K84" s="40" t="n">
        <v>1</v>
      </c>
    </row>
    <row r="85">
      <c r="A85" s="41" t="inlineStr">
        <is>
          <t>05.07</t>
        </is>
      </c>
      <c r="B85" s="5" t="inlineStr">
        <is>
          <t>ELEKTRİK</t>
        </is>
      </c>
      <c r="C85" s="42" t="inlineStr">
        <is>
          <t>Pano etiketleme, tek hat şeması çerçevesi ve fonksiyon testi</t>
        </is>
      </c>
      <c r="D85" s="43" t="inlineStr">
        <is>
          <t>götürü</t>
        </is>
      </c>
      <c r="E85" s="44" t="n">
        <v>1</v>
      </c>
      <c r="F85" s="30" t="n"/>
      <c r="G85" s="45">
        <f>E85*F85*K85</f>
        <v/>
      </c>
      <c r="H85" s="46">
        <f>6500*K85</f>
        <v/>
      </c>
      <c r="I85" s="46">
        <f>11000*K85</f>
        <v/>
      </c>
      <c r="J85" s="47" t="inlineStr">
        <is>
          <t>M</t>
        </is>
      </c>
      <c r="K85" s="47" t="n">
        <v>1</v>
      </c>
    </row>
    <row r="86">
      <c r="A86" s="34" t="inlineStr">
        <is>
          <t>05.10</t>
        </is>
      </c>
      <c r="B86" s="2" t="inlineStr">
        <is>
          <t>ELEKTRİK</t>
        </is>
      </c>
      <c r="C86" s="35" t="inlineStr">
        <is>
          <t>Lineer LED armatür 40 W / 4400 lm, 1.200 mm (montaj dahil)</t>
        </is>
      </c>
      <c r="D86" s="36" t="inlineStr">
        <is>
          <t>adet</t>
        </is>
      </c>
      <c r="E86" s="37" t="n">
        <v>15</v>
      </c>
      <c r="F86" s="30" t="n"/>
      <c r="G86" s="38">
        <f>E86*F86*K86</f>
        <v/>
      </c>
      <c r="H86" s="39">
        <f>21000*K86</f>
        <v/>
      </c>
      <c r="I86" s="39">
        <f>39000*K86</f>
        <v/>
      </c>
      <c r="J86" s="40" t="inlineStr">
        <is>
          <t>M</t>
        </is>
      </c>
      <c r="K86" s="40" t="n">
        <v>1</v>
      </c>
    </row>
    <row r="87">
      <c r="A87" s="41" t="inlineStr">
        <is>
          <t>05.11</t>
        </is>
      </c>
      <c r="B87" s="5" t="inlineStr">
        <is>
          <t>ELEKTRİK</t>
        </is>
      </c>
      <c r="C87" s="42" t="inlineStr">
        <is>
          <t>IP44 downlight 18 W / 1800 lm — ıslak hacim ve soyunma</t>
        </is>
      </c>
      <c r="D87" s="43" t="inlineStr">
        <is>
          <t>adet</t>
        </is>
      </c>
      <c r="E87" s="44" t="n">
        <v>6</v>
      </c>
      <c r="F87" s="30" t="n"/>
      <c r="G87" s="45">
        <f>E87*F87*K87</f>
        <v/>
      </c>
      <c r="H87" s="46">
        <f>5100*K87</f>
        <v/>
      </c>
      <c r="I87" s="46">
        <f>9300*K87</f>
        <v/>
      </c>
      <c r="J87" s="47" t="inlineStr">
        <is>
          <t>M</t>
        </is>
      </c>
      <c r="K87" s="47" t="n">
        <v>1</v>
      </c>
    </row>
    <row r="88">
      <c r="A88" s="34" t="inlineStr">
        <is>
          <t>05.12</t>
        </is>
      </c>
      <c r="B88" s="2" t="inlineStr">
        <is>
          <t>ELEKTRİK</t>
        </is>
      </c>
      <c r="C88" s="35" t="inlineStr">
        <is>
          <t>Acil aydınlatma armatürü — 3 saat bataryalı</t>
        </is>
      </c>
      <c r="D88" s="36" t="inlineStr">
        <is>
          <t>adet</t>
        </is>
      </c>
      <c r="E88" s="37" t="n">
        <v>5</v>
      </c>
      <c r="F88" s="30" t="n"/>
      <c r="G88" s="38">
        <f>E88*F88*K88</f>
        <v/>
      </c>
      <c r="H88" s="39">
        <f>6250*K88</f>
        <v/>
      </c>
      <c r="I88" s="39">
        <f>11000*K88</f>
        <v/>
      </c>
      <c r="J88" s="40" t="inlineStr">
        <is>
          <t>M</t>
        </is>
      </c>
      <c r="K88" s="40" t="n">
        <v>1</v>
      </c>
    </row>
    <row r="89">
      <c r="A89" s="41" t="inlineStr">
        <is>
          <t>05.13</t>
        </is>
      </c>
      <c r="B89" s="5" t="inlineStr">
        <is>
          <t>ELEKTRİK</t>
        </is>
      </c>
      <c r="C89" s="42" t="inlineStr">
        <is>
          <t>Acil çıkış yönlendirme armatürü</t>
        </is>
      </c>
      <c r="D89" s="43" t="inlineStr">
        <is>
          <t>adet</t>
        </is>
      </c>
      <c r="E89" s="44" t="n">
        <v>3</v>
      </c>
      <c r="F89" s="30" t="n"/>
      <c r="G89" s="45">
        <f>E89*F89*K89</f>
        <v/>
      </c>
      <c r="H89" s="46">
        <f>3450*K89</f>
        <v/>
      </c>
      <c r="I89" s="46">
        <f>5850*K89</f>
        <v/>
      </c>
      <c r="J89" s="47" t="inlineStr">
        <is>
          <t>M</t>
        </is>
      </c>
      <c r="K89" s="47" t="n">
        <v>1</v>
      </c>
    </row>
    <row r="90">
      <c r="A90" s="34" t="inlineStr">
        <is>
          <t>05.14</t>
        </is>
      </c>
      <c r="B90" s="2" t="inlineStr">
        <is>
          <t>ELEKTRİK</t>
        </is>
      </c>
      <c r="C90" s="35" t="inlineStr">
        <is>
          <t>Aydınlatma linyesi NHXMH 3×1,5 mm² — spiral boru ve işçilik dâhil</t>
        </is>
      </c>
      <c r="D90" s="36" t="inlineStr">
        <is>
          <t>m</t>
        </is>
      </c>
      <c r="E90" s="37" t="n">
        <v>42</v>
      </c>
      <c r="F90" s="30" t="n"/>
      <c r="G90" s="38">
        <f>E90*F90*K90</f>
        <v/>
      </c>
      <c r="H90" s="39">
        <f>4620*K90</f>
        <v/>
      </c>
      <c r="I90" s="39">
        <f>7770*K90</f>
        <v/>
      </c>
      <c r="J90" s="40" t="inlineStr">
        <is>
          <t>M</t>
        </is>
      </c>
      <c r="K90" s="40" t="n">
        <v>1</v>
      </c>
    </row>
    <row r="91">
      <c r="A91" s="41" t="inlineStr">
        <is>
          <t>05.15</t>
        </is>
      </c>
      <c r="B91" s="5" t="inlineStr">
        <is>
          <t>ELEKTRİK</t>
        </is>
      </c>
      <c r="C91" s="42" t="inlineStr">
        <is>
          <t>Anahtar / komütatör / vaviyen — sıva altı</t>
        </is>
      </c>
      <c r="D91" s="43" t="inlineStr">
        <is>
          <t>adet</t>
        </is>
      </c>
      <c r="E91" s="44" t="n">
        <v>7</v>
      </c>
      <c r="F91" s="30" t="n"/>
      <c r="G91" s="45">
        <f>E91*F91*K91</f>
        <v/>
      </c>
      <c r="H91" s="46">
        <f>3360*K91</f>
        <v/>
      </c>
      <c r="I91" s="46">
        <f>5740*K91</f>
        <v/>
      </c>
      <c r="J91" s="47" t="inlineStr">
        <is>
          <t>M</t>
        </is>
      </c>
      <c r="K91" s="47" t="n">
        <v>1</v>
      </c>
    </row>
    <row r="92">
      <c r="A92" s="34" t="inlineStr">
        <is>
          <t>05.16</t>
        </is>
      </c>
      <c r="B92" s="2" t="inlineStr">
        <is>
          <t>ELEKTRİK</t>
        </is>
      </c>
      <c r="C92" s="35" t="inlineStr">
        <is>
          <t>Hareket sensörü — ıslak hacim ve geçiş</t>
        </is>
      </c>
      <c r="D92" s="36" t="inlineStr">
        <is>
          <t>adet</t>
        </is>
      </c>
      <c r="E92" s="37" t="n">
        <v>3</v>
      </c>
      <c r="F92" s="30" t="n"/>
      <c r="G92" s="38">
        <f>E92*F92*K92</f>
        <v/>
      </c>
      <c r="H92" s="39">
        <f>4350*K92</f>
        <v/>
      </c>
      <c r="I92" s="39">
        <f>7200*K92</f>
        <v/>
      </c>
      <c r="J92" s="40" t="inlineStr">
        <is>
          <t>M</t>
        </is>
      </c>
      <c r="K92" s="40" t="n">
        <v>1</v>
      </c>
    </row>
    <row r="93">
      <c r="A93" s="41" t="inlineStr">
        <is>
          <t>05.20</t>
        </is>
      </c>
      <c r="B93" s="5" t="inlineStr">
        <is>
          <t>ELEKTRİK</t>
        </is>
      </c>
      <c r="C93" s="42" t="inlineStr">
        <is>
          <t>İkili topraklı priz — sıva altı, komple</t>
        </is>
      </c>
      <c r="D93" s="43" t="inlineStr">
        <is>
          <t>adet</t>
        </is>
      </c>
      <c r="E93" s="44" t="n">
        <v>20</v>
      </c>
      <c r="F93" s="30" t="n"/>
      <c r="G93" s="45">
        <f>E93*F93*K93</f>
        <v/>
      </c>
      <c r="H93" s="46">
        <f>12400*K93</f>
        <v/>
      </c>
      <c r="I93" s="46">
        <f>21000*K93</f>
        <v/>
      </c>
      <c r="J93" s="47" t="inlineStr">
        <is>
          <t>M</t>
        </is>
      </c>
      <c r="K93" s="47" t="n">
        <v>1</v>
      </c>
    </row>
    <row r="94">
      <c r="A94" s="34" t="inlineStr">
        <is>
          <t>05.21</t>
        </is>
      </c>
      <c r="B94" s="2" t="inlineStr">
        <is>
          <t>ELEKTRİK</t>
        </is>
      </c>
      <c r="C94" s="35" t="inlineStr">
        <is>
          <t>IP44 priz — ıslak hacim</t>
        </is>
      </c>
      <c r="D94" s="36" t="inlineStr">
        <is>
          <t>adet</t>
        </is>
      </c>
      <c r="E94" s="37" t="n">
        <v>2</v>
      </c>
      <c r="F94" s="30" t="n"/>
      <c r="G94" s="38">
        <f>E94*F94*K94</f>
        <v/>
      </c>
      <c r="H94" s="39">
        <f>1900*K94</f>
        <v/>
      </c>
      <c r="I94" s="39">
        <f>3200*K94</f>
        <v/>
      </c>
      <c r="J94" s="40" t="inlineStr">
        <is>
          <t>M</t>
        </is>
      </c>
      <c r="K94" s="40" t="n">
        <v>1</v>
      </c>
    </row>
    <row r="95">
      <c r="A95" s="41" t="inlineStr">
        <is>
          <t>05.22</t>
        </is>
      </c>
      <c r="B95" s="5" t="inlineStr">
        <is>
          <t>ELEKTRİK</t>
        </is>
      </c>
      <c r="C95" s="42" t="inlineStr">
        <is>
          <t>Priz linyesi NHXMH 3×2,5 mm² — spiral boru ve işçilik dâhil</t>
        </is>
      </c>
      <c r="D95" s="43" t="inlineStr">
        <is>
          <t>m</t>
        </is>
      </c>
      <c r="E95" s="44" t="n">
        <v>391</v>
      </c>
      <c r="F95" s="30" t="n"/>
      <c r="G95" s="45">
        <f>E95*F95*K95</f>
        <v/>
      </c>
      <c r="H95" s="46">
        <f>54740*K95</f>
        <v/>
      </c>
      <c r="I95" s="46">
        <f>89930*K95</f>
        <v/>
      </c>
      <c r="J95" s="47" t="inlineStr">
        <is>
          <t>M</t>
        </is>
      </c>
      <c r="K95" s="47" t="n">
        <v>1</v>
      </c>
    </row>
    <row r="96">
      <c r="A96" s="34" t="inlineStr">
        <is>
          <t>05.23</t>
        </is>
      </c>
      <c r="B96" s="2" t="inlineStr">
        <is>
          <t>ELEKTRİK</t>
        </is>
      </c>
      <c r="C96" s="35" t="inlineStr">
        <is>
          <t>Klima besleme hattı 3×2,5 mm² + hat sonu kesici</t>
        </is>
      </c>
      <c r="D96" s="36" t="inlineStr">
        <is>
          <t>adet</t>
        </is>
      </c>
      <c r="E96" s="37" t="n">
        <v>4</v>
      </c>
      <c r="F96" s="30" t="n"/>
      <c r="G96" s="38">
        <f>E96*F96*K96</f>
        <v/>
      </c>
      <c r="H96" s="39">
        <f>13600*K96</f>
        <v/>
      </c>
      <c r="I96" s="39">
        <f>22800*K96</f>
        <v/>
      </c>
      <c r="J96" s="40" t="inlineStr">
        <is>
          <t>M</t>
        </is>
      </c>
      <c r="K96" s="40" t="n">
        <v>1</v>
      </c>
    </row>
    <row r="97">
      <c r="A97" s="41" t="inlineStr">
        <is>
          <t>05.24</t>
        </is>
      </c>
      <c r="B97" s="5" t="inlineStr">
        <is>
          <t>ELEKTRİK</t>
        </is>
      </c>
      <c r="C97" s="42" t="inlineStr">
        <is>
          <t>Boyler besleme hattı 3×2,5 mm² + 20 A kesici + 30 mA kaçak akım</t>
        </is>
      </c>
      <c r="D97" s="43" t="inlineStr">
        <is>
          <t>adet</t>
        </is>
      </c>
      <c r="E97" s="44" t="n">
        <v>2</v>
      </c>
      <c r="F97" s="30" t="n"/>
      <c r="G97" s="45">
        <f>E97*F97*K97</f>
        <v/>
      </c>
      <c r="H97" s="46">
        <f>8400*K97</f>
        <v/>
      </c>
      <c r="I97" s="46">
        <f>14600*K97</f>
        <v/>
      </c>
      <c r="J97" s="47" t="inlineStr">
        <is>
          <t>M</t>
        </is>
      </c>
      <c r="K97" s="47" t="n">
        <v>1</v>
      </c>
    </row>
    <row r="98">
      <c r="A98" s="34" t="inlineStr">
        <is>
          <t>05.25</t>
        </is>
      </c>
      <c r="B98" s="2" t="inlineStr">
        <is>
          <t>ELEKTRİK</t>
        </is>
      </c>
      <c r="C98" s="35" t="inlineStr">
        <is>
          <t>Havalandırma fanı besleme ve hız kontrol hattı</t>
        </is>
      </c>
      <c r="D98" s="36" t="inlineStr">
        <is>
          <t>adet</t>
        </is>
      </c>
      <c r="E98" s="37" t="n">
        <v>3</v>
      </c>
      <c r="F98" s="30" t="n"/>
      <c r="G98" s="38">
        <f>E98*F98*K98</f>
        <v/>
      </c>
      <c r="H98" s="39">
        <f>7200*K98</f>
        <v/>
      </c>
      <c r="I98" s="39">
        <f>12000*K98</f>
        <v/>
      </c>
      <c r="J98" s="40" t="inlineStr">
        <is>
          <t>M</t>
        </is>
      </c>
      <c r="K98" s="40" t="n">
        <v>1</v>
      </c>
    </row>
    <row r="99">
      <c r="A99" s="41" t="inlineStr">
        <is>
          <t>05.26</t>
        </is>
      </c>
      <c r="B99" s="5" t="inlineStr">
        <is>
          <t>ELEKTRİK</t>
        </is>
      </c>
      <c r="C99" s="42" t="inlineStr">
        <is>
          <t>Banko kuvvet + veri kutusu (gömme)</t>
        </is>
      </c>
      <c r="D99" s="43" t="inlineStr">
        <is>
          <t>adet</t>
        </is>
      </c>
      <c r="E99" s="44" t="n">
        <v>1</v>
      </c>
      <c r="F99" s="30" t="n"/>
      <c r="G99" s="45">
        <f>E99*F99*K99</f>
        <v/>
      </c>
      <c r="H99" s="46">
        <f>7500*K99</f>
        <v/>
      </c>
      <c r="I99" s="46">
        <f>12500*K99</f>
        <v/>
      </c>
      <c r="J99" s="47" t="inlineStr">
        <is>
          <t>M</t>
        </is>
      </c>
      <c r="K99" s="47" t="n">
        <v>1</v>
      </c>
    </row>
    <row r="100">
      <c r="A100" s="34" t="inlineStr">
        <is>
          <t>05.30</t>
        </is>
      </c>
      <c r="B100" s="2" t="inlineStr">
        <is>
          <t>ELEKTRİK</t>
        </is>
      </c>
      <c r="C100" s="35" t="inlineStr">
        <is>
          <t>Cat6 veri prizi + kablolama</t>
        </is>
      </c>
      <c r="D100" s="36" t="inlineStr">
        <is>
          <t>adet</t>
        </is>
      </c>
      <c r="E100" s="37" t="n">
        <v>6</v>
      </c>
      <c r="F100" s="30" t="n"/>
      <c r="G100" s="38">
        <f>E100*F100*K100</f>
        <v/>
      </c>
      <c r="H100" s="39">
        <f>8700*K100</f>
        <v/>
      </c>
      <c r="I100" s="39">
        <f>14700*K100</f>
        <v/>
      </c>
      <c r="J100" s="40" t="inlineStr">
        <is>
          <t>M</t>
        </is>
      </c>
      <c r="K100" s="40" t="n">
        <v>1</v>
      </c>
    </row>
    <row r="101">
      <c r="A101" s="41" t="inlineStr">
        <is>
          <t>05.31</t>
        </is>
      </c>
      <c r="B101" s="5" t="inlineStr">
        <is>
          <t>ELEKTRİK</t>
        </is>
      </c>
      <c r="C101" s="42" t="inlineStr">
        <is>
          <t>Kablosuz erişim noktası (AP) + PoE besleme</t>
        </is>
      </c>
      <c r="D101" s="43" t="inlineStr">
        <is>
          <t>adet</t>
        </is>
      </c>
      <c r="E101" s="44" t="n">
        <v>2</v>
      </c>
      <c r="F101" s="30" t="n"/>
      <c r="G101" s="45">
        <f>E101*F101*K101</f>
        <v/>
      </c>
      <c r="H101" s="46">
        <f>13600*K101</f>
        <v/>
      </c>
      <c r="I101" s="46">
        <f>23000*K101</f>
        <v/>
      </c>
      <c r="J101" s="47" t="inlineStr">
        <is>
          <t>M</t>
        </is>
      </c>
      <c r="K101" s="47" t="n">
        <v>1</v>
      </c>
    </row>
    <row r="102">
      <c r="A102" s="34" t="inlineStr">
        <is>
          <t>05.32</t>
        </is>
      </c>
      <c r="B102" s="2" t="inlineStr">
        <is>
          <t>ELEKTRİK</t>
        </is>
      </c>
      <c r="C102" s="35" t="inlineStr">
        <is>
          <t>IP güvenlik kamerası — iç mekân (soyunma ve WC HARİÇ)</t>
        </is>
      </c>
      <c r="D102" s="36" t="inlineStr">
        <is>
          <t>adet</t>
        </is>
      </c>
      <c r="E102" s="37" t="n">
        <v>5</v>
      </c>
      <c r="F102" s="30" t="n"/>
      <c r="G102" s="38">
        <f>E102*F102*K102</f>
        <v/>
      </c>
      <c r="H102" s="39">
        <f>27000*K102</f>
        <v/>
      </c>
      <c r="I102" s="39">
        <f>45000*K102</f>
        <v/>
      </c>
      <c r="J102" s="40" t="inlineStr">
        <is>
          <t>M</t>
        </is>
      </c>
      <c r="K102" s="40" t="n">
        <v>1</v>
      </c>
    </row>
    <row r="103">
      <c r="A103" s="41" t="inlineStr">
        <is>
          <t>05.33</t>
        </is>
      </c>
      <c r="B103" s="5" t="inlineStr">
        <is>
          <t>ELEKTRİK</t>
        </is>
      </c>
      <c r="C103" s="42" t="inlineStr">
        <is>
          <t>NVR + 4 TB disk + 9U rack kabinet</t>
        </is>
      </c>
      <c r="D103" s="43" t="inlineStr">
        <is>
          <t>takım</t>
        </is>
      </c>
      <c r="E103" s="44" t="n">
        <v>1</v>
      </c>
      <c r="F103" s="30" t="n"/>
      <c r="G103" s="45">
        <f>E103*F103*K103</f>
        <v/>
      </c>
      <c r="H103" s="46">
        <f>24000*K103</f>
        <v/>
      </c>
      <c r="I103" s="46">
        <f>40000*K103</f>
        <v/>
      </c>
      <c r="J103" s="47" t="inlineStr">
        <is>
          <t>M</t>
        </is>
      </c>
      <c r="K103" s="47" t="n">
        <v>1</v>
      </c>
    </row>
    <row r="104">
      <c r="A104" s="34" t="inlineStr">
        <is>
          <t>05.34</t>
        </is>
      </c>
      <c r="B104" s="2" t="inlineStr">
        <is>
          <t>ELEKTRİK</t>
        </is>
      </c>
      <c r="C104" s="35" t="inlineStr">
        <is>
          <t>Tavan hoparlörü 6 W / 100 V hat</t>
        </is>
      </c>
      <c r="D104" s="36" t="inlineStr">
        <is>
          <t>adet</t>
        </is>
      </c>
      <c r="E104" s="37" t="n">
        <v>6</v>
      </c>
      <c r="F104" s="30" t="n"/>
      <c r="G104" s="38">
        <f>E104*F104*K104</f>
        <v/>
      </c>
      <c r="H104" s="39">
        <f>9900*K104</f>
        <v/>
      </c>
      <c r="I104" s="39">
        <f>16800*K104</f>
        <v/>
      </c>
      <c r="J104" s="40" t="inlineStr">
        <is>
          <t>M</t>
        </is>
      </c>
      <c r="K104" s="40" t="n">
        <v>1</v>
      </c>
    </row>
    <row r="105">
      <c r="A105" s="41" t="inlineStr">
        <is>
          <t>05.35</t>
        </is>
      </c>
      <c r="B105" s="5" t="inlineStr">
        <is>
          <t>ELEKTRİK</t>
        </is>
      </c>
      <c r="C105" s="42" t="inlineStr">
        <is>
          <t>Anfi / ses matrisi 120 W + kaynak</t>
        </is>
      </c>
      <c r="D105" s="43" t="inlineStr">
        <is>
          <t>takım</t>
        </is>
      </c>
      <c r="E105" s="44" t="n">
        <v>1</v>
      </c>
      <c r="F105" s="30" t="n"/>
      <c r="G105" s="45">
        <f>E105*F105*K105</f>
        <v/>
      </c>
      <c r="H105" s="46">
        <f>14000*K105</f>
        <v/>
      </c>
      <c r="I105" s="46">
        <f>24000*K105</f>
        <v/>
      </c>
      <c r="J105" s="47" t="inlineStr">
        <is>
          <t>M</t>
        </is>
      </c>
      <c r="K105" s="47" t="n">
        <v>1</v>
      </c>
    </row>
    <row r="106">
      <c r="A106" s="34" t="inlineStr">
        <is>
          <t>05.36</t>
        </is>
      </c>
      <c r="B106" s="2" t="inlineStr">
        <is>
          <t>ELEKTRİK</t>
        </is>
      </c>
      <c r="C106" s="35" t="inlineStr">
        <is>
          <t>Geçiş kontrol — kapı okuyucu + elektrikli kilit + buton</t>
        </is>
      </c>
      <c r="D106" s="36" t="inlineStr">
        <is>
          <t>takım</t>
        </is>
      </c>
      <c r="E106" s="37" t="n">
        <v>1</v>
      </c>
      <c r="F106" s="30" t="n"/>
      <c r="G106" s="38">
        <f>E106*F106*K106</f>
        <v/>
      </c>
      <c r="H106" s="39">
        <f>16500*K106</f>
        <v/>
      </c>
      <c r="I106" s="39">
        <f>28000*K106</f>
        <v/>
      </c>
      <c r="J106" s="40" t="inlineStr">
        <is>
          <t>M</t>
        </is>
      </c>
      <c r="K106" s="40" t="n">
        <v>1</v>
      </c>
    </row>
    <row r="107">
      <c r="A107" s="41" t="inlineStr">
        <is>
          <t>05.37</t>
        </is>
      </c>
      <c r="B107" s="5" t="inlineStr">
        <is>
          <t>ELEKTRİK</t>
        </is>
      </c>
      <c r="C107" s="42" t="inlineStr">
        <is>
          <t>Yangın algılama paneli — 2 zon, aküleriyle</t>
        </is>
      </c>
      <c r="D107" s="43" t="inlineStr">
        <is>
          <t>adet</t>
        </is>
      </c>
      <c r="E107" s="44" t="n">
        <v>1</v>
      </c>
      <c r="F107" s="30" t="n"/>
      <c r="G107" s="45">
        <f>E107*F107*K107</f>
        <v/>
      </c>
      <c r="H107" s="46">
        <f>14500*K107</f>
        <v/>
      </c>
      <c r="I107" s="46">
        <f>24500*K107</f>
        <v/>
      </c>
      <c r="J107" s="47" t="inlineStr">
        <is>
          <t>M</t>
        </is>
      </c>
      <c r="K107" s="47" t="n">
        <v>1</v>
      </c>
    </row>
    <row r="108">
      <c r="A108" s="34" t="inlineStr">
        <is>
          <t>05.38</t>
        </is>
      </c>
      <c r="B108" s="2" t="inlineStr">
        <is>
          <t>ELEKTRİK</t>
        </is>
      </c>
      <c r="C108" s="35" t="inlineStr">
        <is>
          <t>Optik duman dedektörü</t>
        </is>
      </c>
      <c r="D108" s="36" t="inlineStr">
        <is>
          <t>adet</t>
        </is>
      </c>
      <c r="E108" s="37" t="n">
        <v>6</v>
      </c>
      <c r="F108" s="30" t="n"/>
      <c r="G108" s="38">
        <f>E108*F108*K108</f>
        <v/>
      </c>
      <c r="H108" s="39">
        <f>7500*K108</f>
        <v/>
      </c>
      <c r="I108" s="39">
        <f>12600*K108</f>
        <v/>
      </c>
      <c r="J108" s="40" t="inlineStr">
        <is>
          <t>M</t>
        </is>
      </c>
      <c r="K108" s="40" t="n">
        <v>1</v>
      </c>
    </row>
    <row r="109">
      <c r="A109" s="41" t="inlineStr">
        <is>
          <t>05.39</t>
        </is>
      </c>
      <c r="B109" s="5" t="inlineStr">
        <is>
          <t>ELEKTRİK</t>
        </is>
      </c>
      <c r="C109" s="42" t="inlineStr">
        <is>
          <t>Yangın ihbar butonu / siren + flaşör</t>
        </is>
      </c>
      <c r="D109" s="43" t="inlineStr">
        <is>
          <t>adet</t>
        </is>
      </c>
      <c r="E109" s="44" t="n">
        <v>3</v>
      </c>
      <c r="F109" s="30" t="n"/>
      <c r="G109" s="45">
        <f>E109*F109*K109</f>
        <v/>
      </c>
      <c r="H109" s="46">
        <f>5550*K109</f>
        <v/>
      </c>
      <c r="I109" s="46">
        <f>9300*K109</f>
        <v/>
      </c>
      <c r="J109" s="47" t="inlineStr">
        <is>
          <t>M</t>
        </is>
      </c>
      <c r="K109" s="47" t="n">
        <v>1</v>
      </c>
    </row>
    <row r="110">
      <c r="A110" s="34" t="inlineStr">
        <is>
          <t>05.40</t>
        </is>
      </c>
      <c r="B110" s="2" t="inlineStr">
        <is>
          <t>ELEKTRİK</t>
        </is>
      </c>
      <c r="C110" s="35" t="inlineStr">
        <is>
          <t>Zayıf akım kablolaması (Cat6, koaksiyel, ses, algılama)</t>
        </is>
      </c>
      <c r="D110" s="36" t="inlineStr">
        <is>
          <t>m</t>
        </is>
      </c>
      <c r="E110" s="37" t="n">
        <v>210</v>
      </c>
      <c r="F110" s="30" t="n"/>
      <c r="G110" s="38">
        <f>E110*F110*K110</f>
        <v/>
      </c>
      <c r="H110" s="39">
        <f>12600*K110</f>
        <v/>
      </c>
      <c r="I110" s="39">
        <f>22050*K110</f>
        <v/>
      </c>
      <c r="J110" s="40" t="inlineStr">
        <is>
          <t>M</t>
        </is>
      </c>
      <c r="K110" s="40" t="n">
        <v>1</v>
      </c>
    </row>
    <row r="111">
      <c r="A111" s="41" t="inlineStr">
        <is>
          <t>05.45</t>
        </is>
      </c>
      <c r="B111" s="5" t="inlineStr">
        <is>
          <t>ELEKTRİK</t>
        </is>
      </c>
      <c r="C111" s="42" t="inlineStr">
        <is>
          <t>Topraklama çubuğu, bağlantı ve ölçüm kutusu</t>
        </is>
      </c>
      <c r="D111" s="43" t="inlineStr">
        <is>
          <t>takım</t>
        </is>
      </c>
      <c r="E111" s="44" t="n">
        <v>1</v>
      </c>
      <c r="F111" s="30" t="n"/>
      <c r="G111" s="45">
        <f>E111*F111*K111</f>
        <v/>
      </c>
      <c r="H111" s="46">
        <f>8500*K111</f>
        <v/>
      </c>
      <c r="I111" s="46">
        <f>14500*K111</f>
        <v/>
      </c>
      <c r="J111" s="47" t="inlineStr">
        <is>
          <t>M</t>
        </is>
      </c>
      <c r="K111" s="47" t="n">
        <v>1</v>
      </c>
    </row>
    <row r="112">
      <c r="A112" s="34" t="inlineStr">
        <is>
          <t>05.46</t>
        </is>
      </c>
      <c r="B112" s="2" t="inlineStr">
        <is>
          <t>ELEKTRİK</t>
        </is>
      </c>
      <c r="C112" s="35" t="inlineStr">
        <is>
          <t>Ana potansiyel dengeleme barası ve iletkenleri</t>
        </is>
      </c>
      <c r="D112" s="36" t="inlineStr">
        <is>
          <t>takım</t>
        </is>
      </c>
      <c r="E112" s="37" t="n">
        <v>1</v>
      </c>
      <c r="F112" s="30" t="n"/>
      <c r="G112" s="38">
        <f>E112*F112*K112</f>
        <v/>
      </c>
      <c r="H112" s="39">
        <f>5200*K112</f>
        <v/>
      </c>
      <c r="I112" s="39">
        <f>8800*K112</f>
        <v/>
      </c>
      <c r="J112" s="40" t="inlineStr">
        <is>
          <t>M</t>
        </is>
      </c>
      <c r="K112" s="40" t="n">
        <v>1</v>
      </c>
    </row>
    <row r="113">
      <c r="A113" s="41" t="inlineStr">
        <is>
          <t>05.47</t>
        </is>
      </c>
      <c r="B113" s="5" t="inlineStr">
        <is>
          <t>ELEKTRİK</t>
        </is>
      </c>
      <c r="C113" s="42" t="inlineStr">
        <is>
          <t>Islak hacim ek potansiyel dengeleme</t>
        </is>
      </c>
      <c r="D113" s="43" t="inlineStr">
        <is>
          <t>takım</t>
        </is>
      </c>
      <c r="E113" s="44" t="n">
        <v>2</v>
      </c>
      <c r="F113" s="30" t="n"/>
      <c r="G113" s="45">
        <f>E113*F113*K113</f>
        <v/>
      </c>
      <c r="H113" s="46">
        <f>5600*K113</f>
        <v/>
      </c>
      <c r="I113" s="46">
        <f>9400*K113</f>
        <v/>
      </c>
      <c r="J113" s="47" t="inlineStr">
        <is>
          <t>M</t>
        </is>
      </c>
      <c r="K113" s="47" t="n">
        <v>1</v>
      </c>
    </row>
    <row r="114">
      <c r="A114" s="34" t="inlineStr">
        <is>
          <t>05.48</t>
        </is>
      </c>
      <c r="B114" s="2" t="inlineStr">
        <is>
          <t>ELEKTRİK</t>
        </is>
      </c>
      <c r="C114" s="35" t="inlineStr">
        <is>
          <t>Topraklama direnci ölçümü, izolasyon testi ve rapor</t>
        </is>
      </c>
      <c r="D114" s="36" t="inlineStr">
        <is>
          <t>götürü</t>
        </is>
      </c>
      <c r="E114" s="37" t="n">
        <v>1</v>
      </c>
      <c r="F114" s="30" t="n"/>
      <c r="G114" s="38">
        <f>E114*F114*K114</f>
        <v/>
      </c>
      <c r="H114" s="39">
        <f>7500*K114</f>
        <v/>
      </c>
      <c r="I114" s="39">
        <f>13000*K114</f>
        <v/>
      </c>
      <c r="J114" s="40" t="inlineStr">
        <is>
          <t>M</t>
        </is>
      </c>
      <c r="K114" s="40" t="n">
        <v>1</v>
      </c>
    </row>
    <row r="116">
      <c r="A116" s="56" t="n"/>
      <c r="B116" s="56" t="n"/>
      <c r="C116" s="57" t="inlineStr">
        <is>
          <t>İMALAT ARA TOPLAMI</t>
        </is>
      </c>
      <c r="D116" s="56" t="n"/>
      <c r="E116" s="56" t="n"/>
      <c r="F116" s="56" t="n"/>
      <c r="G116" s="18">
        <f>SUM(G4:G114)</f>
        <v/>
      </c>
      <c r="H116" s="18">
        <f>SUM(H4:H114)</f>
        <v/>
      </c>
      <c r="I116" s="18">
        <f>SUM(I4:I114)</f>
        <v/>
      </c>
      <c r="J116" s="56" t="n"/>
      <c r="K116" s="56" t="n"/>
    </row>
  </sheetData>
  <autoFilter ref="A3:K114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2" customWidth="1" min="3" max="3"/>
    <col width="12" customWidth="1" min="4" max="4"/>
    <col width="14" customWidth="1" min="5" max="5"/>
    <col width="8" customWidth="1" min="6" max="6"/>
    <col width="16" customWidth="1" min="7" max="7"/>
    <col width="40" customWidth="1" min="8" max="8"/>
  </cols>
  <sheetData>
    <row r="1">
      <c r="A1" s="33" t="inlineStr">
        <is>
          <t>EKİPMAN BİLGİ SAYFASI — BÜTÇE DIŞI</t>
        </is>
      </c>
    </row>
    <row r="2">
      <c r="A2" s="49" t="inlineStr">
        <is>
          <t>Ekipman işverence satın alınmıştır; bu dosyadaki maliyet kalemlerine dâhil değildir. Marka/model listesi geldiğinde aşağıdaki sütunlar doldurulmalıdır.</t>
        </is>
      </c>
    </row>
    <row r="3">
      <c r="A3" s="6" t="inlineStr">
        <is>
          <t>Kod</t>
        </is>
      </c>
      <c r="B3" s="6" t="inlineStr">
        <is>
          <t>Ekipman</t>
        </is>
      </c>
      <c r="C3" s="6" t="inlineStr">
        <is>
          <t>En (cm)</t>
        </is>
      </c>
      <c r="D3" s="6" t="inlineStr">
        <is>
          <t>Boy (cm)</t>
        </is>
      </c>
      <c r="E3" s="6" t="inlineStr">
        <is>
          <t>Yükseklik (m)</t>
        </is>
      </c>
      <c r="F3" s="6" t="inlineStr">
        <is>
          <t>Adet</t>
        </is>
      </c>
      <c r="G3" s="6" t="inlineStr">
        <is>
          <t>Footprint (m²)</t>
        </is>
      </c>
      <c r="H3" s="6" t="inlineStr">
        <is>
          <t>Marka / model (işveren dolduracak)</t>
        </is>
      </c>
    </row>
    <row r="4">
      <c r="A4" s="58" t="inlineStr">
        <is>
          <t>A</t>
        </is>
      </c>
      <c r="B4" s="59" t="inlineStr">
        <is>
          <t>TRIMODE ARENA — altıgen ring, 4 sıra halat</t>
        </is>
      </c>
      <c r="C4" s="60" t="inlineStr">
        <is>
          <t>altıgen</t>
        </is>
      </c>
      <c r="D4" s="60" t="inlineStr">
        <is>
          <t>10,60 m²</t>
        </is>
      </c>
      <c r="E4" s="61" t="n">
        <v>1.8</v>
      </c>
      <c r="F4" s="62" t="n">
        <v>1</v>
      </c>
      <c r="G4" s="61" t="n">
        <v>10.6</v>
      </c>
      <c r="H4" s="63" t="n"/>
    </row>
    <row r="5">
      <c r="A5" s="64" t="inlineStr">
        <is>
          <t>B</t>
        </is>
      </c>
      <c r="B5" s="65" t="inlineStr">
        <is>
          <t>Çok fonksiyonlu kuvvet istasyonu (ağırlık takozlu)</t>
        </is>
      </c>
      <c r="C5" s="66" t="n">
        <v>244</v>
      </c>
      <c r="D5" s="66" t="n">
        <v>62</v>
      </c>
      <c r="E5" s="67" t="n">
        <v>2.1</v>
      </c>
      <c r="F5" s="68" t="n">
        <v>1</v>
      </c>
      <c r="G5" s="67" t="n">
        <v>1.51</v>
      </c>
      <c r="H5" s="63" t="n"/>
    </row>
    <row r="6">
      <c r="A6" s="58" t="inlineStr">
        <is>
          <t>C</t>
        </is>
      </c>
      <c r="B6" s="59" t="inlineStr">
        <is>
          <t>Kablo çapraz / functional trainer</t>
        </is>
      </c>
      <c r="C6" s="60" t="n">
        <v>175</v>
      </c>
      <c r="D6" s="60" t="n">
        <v>232</v>
      </c>
      <c r="E6" s="61" t="n">
        <v>2.15</v>
      </c>
      <c r="F6" s="62" t="n">
        <v>1</v>
      </c>
      <c r="G6" s="61" t="n">
        <v>4.06</v>
      </c>
      <c r="H6" s="63" t="n"/>
    </row>
    <row r="7">
      <c r="A7" s="64" t="inlineStr">
        <is>
          <t>D</t>
        </is>
      </c>
      <c r="B7" s="65" t="inlineStr">
        <is>
          <t>Dambıl rafı / sehpa</t>
        </is>
      </c>
      <c r="C7" s="66" t="n">
        <v>155</v>
      </c>
      <c r="D7" s="66" t="n">
        <v>39</v>
      </c>
      <c r="E7" s="67" t="n">
        <v>0.95</v>
      </c>
      <c r="F7" s="68" t="n">
        <v>2</v>
      </c>
      <c r="G7" s="67" t="n">
        <v>1.21</v>
      </c>
      <c r="H7" s="63" t="n"/>
    </row>
    <row r="8">
      <c r="A8" s="58" t="inlineStr">
        <is>
          <t>E</t>
        </is>
      </c>
      <c r="B8" s="59" t="inlineStr">
        <is>
          <t>Kardiyo — kondisyon bisikleti</t>
        </is>
      </c>
      <c r="C8" s="60" t="n">
        <v>84</v>
      </c>
      <c r="D8" s="60" t="n">
        <v>150</v>
      </c>
      <c r="E8" s="61" t="n">
        <v>1.25</v>
      </c>
      <c r="F8" s="62" t="n">
        <v>1</v>
      </c>
      <c r="G8" s="61" t="n">
        <v>1.26</v>
      </c>
      <c r="H8" s="63" t="n"/>
    </row>
    <row r="9">
      <c r="A9" s="64" t="inlineStr">
        <is>
          <t>F</t>
        </is>
      </c>
      <c r="B9" s="65" t="inlineStr">
        <is>
          <t>Koşu bandı</t>
        </is>
      </c>
      <c r="C9" s="66" t="n">
        <v>245</v>
      </c>
      <c r="D9" s="66" t="n">
        <v>74</v>
      </c>
      <c r="E9" s="67" t="n">
        <v>1.45</v>
      </c>
      <c r="F9" s="68" t="n">
        <v>2</v>
      </c>
      <c r="G9" s="67" t="n">
        <v>3.63</v>
      </c>
      <c r="H9" s="63" t="n"/>
    </row>
    <row r="10">
      <c r="A10" s="17" t="n"/>
      <c r="B10" s="57" t="inlineStr">
        <is>
          <t>TOPLAM FOOTPRINT</t>
        </is>
      </c>
      <c r="C10" s="17" t="n"/>
      <c r="D10" s="17" t="n"/>
      <c r="E10" s="17" t="n"/>
      <c r="F10" s="19">
        <f>SUM(F4:F9)</f>
        <v/>
      </c>
      <c r="G10" s="69">
        <f>SUM(G4:G9)</f>
        <v/>
      </c>
      <c r="H10" s="17" t="n"/>
    </row>
    <row r="12">
      <c r="B12" s="29" t="inlineStr">
        <is>
          <t>Salon brüt alanı</t>
        </is>
      </c>
      <c r="G12" s="61" t="n">
        <v>87.05</v>
      </c>
    </row>
    <row r="13">
      <c r="B13" s="29" t="inlineStr">
        <is>
          <t>Serbest sirkülasyon / çalışma alanı</t>
        </is>
      </c>
      <c r="G13" s="61">
        <f>87.05-G10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66" customWidth="1" min="4" max="4"/>
  </cols>
  <sheetData>
    <row r="1">
      <c r="A1" s="33" t="inlineStr">
        <is>
          <t>VARSAYIMLAR, METRAJ DAYANAĞI VE DOĞRULANACAKLAR</t>
        </is>
      </c>
    </row>
    <row r="3">
      <c r="A3" s="6" t="inlineStr">
        <is>
          <t>Parametre</t>
        </is>
      </c>
      <c r="B3" s="6" t="inlineStr">
        <is>
          <t>Değer</t>
        </is>
      </c>
      <c r="C3" s="6" t="inlineStr">
        <is>
          <t>Birim</t>
        </is>
      </c>
      <c r="D3" s="6" t="inlineStr">
        <is>
          <t>Kaynak / varsayım notu</t>
        </is>
      </c>
    </row>
    <row r="4">
      <c r="A4" s="7" t="inlineStr">
        <is>
          <t>Salon alanı</t>
        </is>
      </c>
      <c r="B4" s="61" t="n">
        <v>87.05</v>
      </c>
      <c r="C4" s="10" t="inlineStr">
        <is>
          <t>m²</t>
        </is>
      </c>
      <c r="D4" s="59" t="inlineStr">
        <is>
          <t>Alan Dağılımı paftası etiketi</t>
        </is>
      </c>
    </row>
    <row r="5">
      <c r="A5" s="12" t="inlineStr">
        <is>
          <t>Erkek soyunma bloğu</t>
        </is>
      </c>
      <c r="B5" s="67" t="n">
        <v>8.24</v>
      </c>
      <c r="C5" s="15" t="inlineStr">
        <is>
          <t>m²</t>
        </is>
      </c>
      <c r="D5" s="65" t="inlineStr">
        <is>
          <t>Alan Dağılımı paftası etiketi</t>
        </is>
      </c>
    </row>
    <row r="6">
      <c r="A6" s="7" t="inlineStr">
        <is>
          <t>Kadın soyunma bloğu</t>
        </is>
      </c>
      <c r="B6" s="61" t="n">
        <v>8.49</v>
      </c>
      <c r="C6" s="10" t="inlineStr">
        <is>
          <t>m²</t>
        </is>
      </c>
      <c r="D6" s="59" t="inlineStr">
        <is>
          <t>Alan Dağılımı paftası etiketi</t>
        </is>
      </c>
    </row>
    <row r="7">
      <c r="A7" s="12" t="inlineStr">
        <is>
          <t>Net iç kullanım alanı</t>
        </is>
      </c>
      <c r="B7" s="67" t="n">
        <v>103.78</v>
      </c>
      <c r="C7" s="15" t="inlineStr">
        <is>
          <t>m²</t>
        </is>
      </c>
      <c r="D7" s="65" t="inlineStr">
        <is>
          <t>Toplam — tüm metrajın temeli</t>
        </is>
      </c>
    </row>
    <row r="8">
      <c r="A8" s="7" t="inlineStr">
        <is>
          <t>Ön bahçe</t>
        </is>
      </c>
      <c r="B8" s="61" t="n">
        <v>24.39</v>
      </c>
      <c r="C8" s="10" t="inlineStr">
        <is>
          <t>m²</t>
        </is>
      </c>
      <c r="D8" s="59" t="inlineStr">
        <is>
          <t>Açık alan</t>
        </is>
      </c>
    </row>
    <row r="9">
      <c r="A9" s="12" t="inlineStr">
        <is>
          <t>Arka bahçe</t>
        </is>
      </c>
      <c r="B9" s="67" t="n">
        <v>32.82</v>
      </c>
      <c r="C9" s="15" t="inlineStr">
        <is>
          <t>m²</t>
        </is>
      </c>
      <c r="D9" s="65" t="inlineStr">
        <is>
          <t>Açık alan</t>
        </is>
      </c>
    </row>
    <row r="10">
      <c r="A10" s="7" t="inlineStr">
        <is>
          <t>Salon dış çevre uzunluğu</t>
        </is>
      </c>
      <c r="B10" s="61" t="n">
        <v>46.15</v>
      </c>
      <c r="C10" s="10" t="inlineStr">
        <is>
          <t>m</t>
        </is>
      </c>
      <c r="D10" s="59" t="inlineStr">
        <is>
          <t>Vektörleştirilmiş poligon</t>
        </is>
      </c>
    </row>
    <row r="11">
      <c r="A11" s="12" t="inlineStr">
        <is>
          <t>Islak hacim blok çevresi</t>
        </is>
      </c>
      <c r="B11" s="67" t="n">
        <v>25.32</v>
      </c>
      <c r="C11" s="15" t="inlineStr">
        <is>
          <t>m</t>
        </is>
      </c>
      <c r="D11" s="65" t="inlineStr">
        <is>
          <t>Vektörleştirilmiş poligon</t>
        </is>
      </c>
    </row>
    <row r="12">
      <c r="A12" s="7" t="inlineStr">
        <is>
          <t>Boyanacak / sıvalanacak duvar</t>
        </is>
      </c>
      <c r="B12" s="61" t="n">
        <v>129.3</v>
      </c>
      <c r="C12" s="10" t="inlineStr">
        <is>
          <t>m²</t>
        </is>
      </c>
      <c r="D12" s="59" t="inlineStr">
        <is>
          <t>Çevre × tavan − cephe doğraması</t>
        </is>
      </c>
    </row>
    <row r="13">
      <c r="A13" s="12" t="inlineStr">
        <is>
          <t>Islak hacim duvar fayansı</t>
        </is>
      </c>
      <c r="B13" s="67" t="n">
        <v>55.7</v>
      </c>
      <c r="C13" s="15" t="inlineStr">
        <is>
          <t>m²</t>
        </is>
      </c>
      <c r="D13" s="65" t="inlineStr">
        <is>
          <t>Blok çevresi × 2,20 m</t>
        </is>
      </c>
    </row>
    <row r="14">
      <c r="A14" s="7" t="inlineStr">
        <is>
          <t>Yeni alçıpan bölme</t>
        </is>
      </c>
      <c r="B14" s="61" t="n">
        <v>44.6</v>
      </c>
      <c r="C14" s="10" t="inlineStr">
        <is>
          <t>m²</t>
        </is>
      </c>
      <c r="D14" s="59" t="inlineStr">
        <is>
          <t>Blok içi bölme payı × tavan</t>
        </is>
      </c>
    </row>
    <row r="15">
      <c r="A15" s="12" t="inlineStr">
        <is>
          <t>Armatür adedi</t>
        </is>
      </c>
      <c r="B15" s="67" t="n">
        <v>15</v>
      </c>
      <c r="C15" s="15" t="inlineStr">
        <is>
          <t>adet</t>
        </is>
      </c>
      <c r="D15" s="65" t="inlineStr">
        <is>
          <t>Lux hesabı — bakım 0,80 · verim 0,70 · 4400 lm</t>
        </is>
      </c>
    </row>
    <row r="16">
      <c r="A16" s="7" t="inlineStr">
        <is>
          <t>Klima iç ünite adedi</t>
        </is>
      </c>
      <c r="B16" s="61" t="n">
        <v>4</v>
      </c>
      <c r="C16" s="10" t="inlineStr">
        <is>
          <t>adet</t>
        </is>
      </c>
      <c r="D16" s="59" t="inlineStr">
        <is>
          <t>bölge bazlı · kurulu 66000 BTU</t>
        </is>
      </c>
    </row>
    <row r="17">
      <c r="A17" s="12" t="inlineStr">
        <is>
          <t>Taze hava debisi</t>
        </is>
      </c>
      <c r="B17" s="67" t="n">
        <v>1000</v>
      </c>
      <c r="C17" s="15" t="inlineStr">
        <is>
          <t>m³/h</t>
        </is>
      </c>
      <c r="D17" s="65" t="inlineStr">
        <is>
          <t>max(kişi başı 55 m³/h; 3 hava değişimi/saat)</t>
        </is>
      </c>
    </row>
    <row r="18">
      <c r="A18" s="7" t="inlineStr">
        <is>
          <t>Kurulu güç</t>
        </is>
      </c>
      <c r="B18" s="61" t="n">
        <v>20.59</v>
      </c>
      <c r="C18" s="10" t="inlineStr">
        <is>
          <t>kW</t>
        </is>
      </c>
      <c r="D18" s="59" t="inlineStr">
        <is>
          <t>Yük tablosu toplamı</t>
        </is>
      </c>
    </row>
    <row r="19">
      <c r="A19" s="12" t="inlineStr">
        <is>
          <t>Şantiye genel gideri</t>
        </is>
      </c>
      <c r="B19" s="67" t="n">
        <v>0.12</v>
      </c>
      <c r="C19" s="15" t="inlineStr">
        <is>
          <t>oran</t>
        </is>
      </c>
      <c r="D19" s="65" t="inlineStr">
        <is>
          <t>%8–10 ortası</t>
        </is>
      </c>
    </row>
    <row r="20">
      <c r="A20" s="7" t="inlineStr">
        <is>
          <t>Beklenmedik pay</t>
        </is>
      </c>
      <c r="B20" s="61" t="n">
        <v>0.15</v>
      </c>
      <c r="C20" s="10" t="inlineStr">
        <is>
          <t>oran</t>
        </is>
      </c>
      <c r="D20" s="59" t="inlineStr">
        <is>
          <t>Islak hacim belirsizliği yüksek</t>
        </is>
      </c>
    </row>
    <row r="22">
      <c r="A22" s="70" t="inlineStr">
        <is>
          <t>DOĞRULANACAK — bu değerler ölçülmemiştir</t>
        </is>
      </c>
      <c r="B22" s="70" t="n"/>
      <c r="C22" s="70" t="n"/>
      <c r="D22" s="70" t="n"/>
    </row>
    <row r="23">
      <c r="A23" s="21" t="inlineStr">
        <is>
          <t>Tavan yüksekliği</t>
        </is>
      </c>
      <c r="B23" s="71" t="n">
        <v>3.2</v>
      </c>
      <c r="C23" s="72" t="inlineStr">
        <is>
          <t>m</t>
        </is>
      </c>
      <c r="D23" s="73" t="inlineStr">
        <is>
          <t>VARSAYIM — yerinde doğrulanacak (mağaza tipik 3,0–3,6 m)</t>
        </is>
      </c>
    </row>
    <row r="24">
      <c r="A24" s="21" t="inlineStr">
        <is>
          <t>Mevcut pis su kotu</t>
        </is>
      </c>
      <c r="B24" s="71" t="inlineStr">
        <is>
          <t>—</t>
        </is>
      </c>
      <c r="C24" s="72" t="inlineStr">
        <is>
          <t>cm</t>
        </is>
      </c>
      <c r="D24" s="73" t="inlineStr">
        <is>
          <t>BİLİNMİYOR — Seçenek A/B kararını belirler</t>
        </is>
      </c>
    </row>
    <row r="25">
      <c r="A25" s="21" t="inlineStr">
        <is>
          <t>Elektrik pano gücü</t>
        </is>
      </c>
      <c r="B25" s="71" t="inlineStr">
        <is>
          <t>—</t>
        </is>
      </c>
      <c r="C25" s="72" t="inlineStr">
        <is>
          <t>kW</t>
        </is>
      </c>
      <c r="D25" s="73" t="inlineStr">
        <is>
          <t>BİLİNMİYOR — talep 12,1 kW</t>
        </is>
      </c>
    </row>
    <row r="26">
      <c r="A26" s="21" t="inlineStr">
        <is>
          <t>Üst katta konut</t>
        </is>
      </c>
      <c r="B26" s="71" t="inlineStr">
        <is>
          <t>VAR</t>
        </is>
      </c>
      <c r="C26" s="72" t="inlineStr">
        <is>
          <t>E/H</t>
        </is>
      </c>
      <c r="D26" s="73" t="inlineStr">
        <is>
          <t>VARSAYIM (konservatif) — akustik kalemleri buna bağlı</t>
        </is>
      </c>
    </row>
    <row r="27">
      <c r="A27" s="21" t="inlineStr">
        <is>
          <t>Doğalgaz bağlantısı</t>
        </is>
      </c>
      <c r="B27" s="71" t="inlineStr">
        <is>
          <t>—</t>
        </is>
      </c>
      <c r="C27" s="72" t="inlineStr">
        <is>
          <t>E/H</t>
        </is>
      </c>
      <c r="D27" s="73" t="inlineStr">
        <is>
          <t>Varsa sıcak su çözümü kombiye döner (poz 03.07)</t>
        </is>
      </c>
    </row>
    <row r="28">
      <c r="A28" s="21" t="inlineStr">
        <is>
          <t>Geometri doğruluğu</t>
        </is>
      </c>
      <c r="B28" s="71" t="inlineStr">
        <is>
          <t>±3</t>
        </is>
      </c>
      <c r="C28" s="72" t="inlineStr">
        <is>
          <t>%</t>
        </is>
      </c>
      <c r="D28" s="73" t="inlineStr">
        <is>
          <t>Raster pafta izleme — DXF R2010 istenmeli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2026-09-18T09:19:31Z</dcterms:created>
  <dcterms:modified xsi:type="dcterms:W3CDTF">2026-09-18T09:19:31Z</dcterms:modified>
</cp:coreProperties>
</file>