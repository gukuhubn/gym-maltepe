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· BÜTÇE TAKİBİ" sheetId="1" state="visible" r:id="rId1"/>
    <sheet name="2 · NAKİT AKIŞ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TL&quot;"/>
    <numFmt numFmtId="165" formatCode="+0%;-0%;0%"/>
  </numFmts>
  <fonts count="15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color rgb="FF6B7078"/>
      <sz val="9"/>
    </font>
    <font>
      <name val="Calibri"/>
      <b val="1"/>
      <color rgb="FFFFFFFF"/>
      <sz val="9"/>
    </font>
    <font>
      <name val="Calibri"/>
      <color rgb="FF8A8F98"/>
      <sz val="9"/>
    </font>
    <font>
      <name val="Calibri"/>
      <color rgb="FF1C1C1C"/>
      <sz val="10"/>
    </font>
    <font>
      <name val="Calibri"/>
      <color rgb="FF1C1C1C"/>
      <sz val="9"/>
    </font>
    <font>
      <name val="Calibri"/>
      <color rgb="FF8A8F98"/>
      <sz val="10"/>
    </font>
    <font>
      <name val="Calibri"/>
      <b val="1"/>
      <color rgb="FF16273D"/>
      <sz val="10"/>
    </font>
    <font>
      <name val="Calibri"/>
      <color rgb="FF16273D"/>
      <sz val="10"/>
    </font>
    <font>
      <name val="Calibri"/>
      <b val="1"/>
      <color rgb="FF16273D"/>
      <sz val="11"/>
    </font>
    <font>
      <name val="Calibri"/>
      <b val="1"/>
      <color rgb="FFFFFFFF"/>
      <sz val="10"/>
    </font>
    <font>
      <name val="Calibri"/>
      <b val="1"/>
      <color rgb="FFFFFFFF"/>
      <sz val="12"/>
    </font>
    <font>
      <name val="Calibri"/>
      <color rgb="FF16273D"/>
      <sz val="9"/>
    </font>
    <font>
      <name val="Calibri"/>
      <b val="1"/>
      <color rgb="FFB87333"/>
      <sz val="10"/>
    </font>
  </fonts>
  <fills count="9">
    <fill>
      <patternFill/>
    </fill>
    <fill>
      <patternFill patternType="gray125"/>
    </fill>
    <fill>
      <patternFill patternType="solid">
        <fgColor rgb="FF16273D"/>
      </patternFill>
    </fill>
    <fill>
      <patternFill patternType="solid">
        <fgColor rgb="FFF4F5F7"/>
      </patternFill>
    </fill>
    <fill>
      <patternFill patternType="solid">
        <fgColor rgb="FF24405F"/>
      </patternFill>
    </fill>
    <fill>
      <patternFill patternType="solid">
        <fgColor rgb="FFFFFFFF"/>
      </patternFill>
    </fill>
    <fill>
      <patternFill patternType="solid">
        <fgColor rgb="FFFFF6E8"/>
      </patternFill>
    </fill>
    <fill>
      <patternFill patternType="solid">
        <fgColor rgb="FFE7EAEE"/>
      </patternFill>
    </fill>
    <fill>
      <patternFill patternType="solid">
        <fgColor rgb="FFB87333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4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4" fontId="6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164" fontId="10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164" fontId="12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164" fontId="13" fillId="5" borderId="1" applyAlignment="1" pivotButton="0" quotePrefix="0" xfId="0">
      <alignment horizontal="right" vertical="center"/>
    </xf>
    <xf numFmtId="9" fontId="13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164" fontId="13" fillId="3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right" vertical="center"/>
    </xf>
    <xf numFmtId="164" fontId="1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24" customWidth="1" min="3" max="3"/>
    <col width="9" customWidth="1" min="4" max="4"/>
    <col width="17" customWidth="1" min="5" max="5"/>
    <col width="17" customWidth="1" min="6" max="6"/>
    <col width="17" customWidth="1" min="7" max="7"/>
    <col width="9" customWidth="1" min="8" max="8"/>
    <col width="11" customWidth="1" min="9" max="9"/>
    <col width="17" customWidth="1" min="10" max="10"/>
    <col width="17" customWidth="1" min="11" max="11"/>
    <col width="44" customWidth="1" min="12" max="12"/>
  </cols>
  <sheetData>
    <row r="1" ht="24" customHeight="1">
      <c r="A1" s="1" t="inlineStr">
        <is>
          <t>BÜTÇE TAKİP TABLOSU  ·  BUDGET CONTROL</t>
        </is>
      </c>
    </row>
    <row r="2" ht="15" customHeight="1">
      <c r="A2" s="2" t="inlineStr">
        <is>
          <t>MALTEPE / İDEALTEPE — MOBİLYA MAĞAZASI → FONKSİYONEL ANTRENMAN STÜDYOSU · Rev H · 17 Eylül 2026 · Tutarlar KDV hariç</t>
        </is>
      </c>
    </row>
    <row r="4" ht="34" customHeight="1">
      <c r="A4" s="3" t="inlineStr">
        <is>
          <t>SIRA</t>
        </is>
      </c>
      <c r="B4" s="3" t="inlineStr">
        <is>
          <t>İŞ KALEMİ</t>
        </is>
      </c>
      <c r="C4" s="3" t="inlineStr">
        <is>
          <t>YÜKLENİCİ / FİRMA</t>
        </is>
      </c>
      <c r="D4" s="3" t="inlineStr">
        <is>
          <t>PARA
BİRİMİ</t>
        </is>
      </c>
      <c r="E4" s="3" t="inlineStr">
        <is>
          <t>BÜTÇE TAHMİNİ
DÜŞÜK</t>
        </is>
      </c>
      <c r="F4" s="3" t="inlineStr">
        <is>
          <t>BÜTÇE TAHMİNİ
YÜKSEK</t>
        </is>
      </c>
      <c r="G4" s="3" t="inlineStr">
        <is>
          <t>SÖZLEŞME BEDELİ</t>
        </is>
      </c>
      <c r="H4" s="3" t="inlineStr">
        <is>
          <t>KUR</t>
        </is>
      </c>
      <c r="I4" s="3" t="inlineStr">
        <is>
          <t>SAPMA
%</t>
        </is>
      </c>
      <c r="J4" s="3" t="inlineStr">
        <is>
          <t>ÖDENEN</t>
        </is>
      </c>
      <c r="K4" s="3" t="inlineStr">
        <is>
          <t>KALAN</t>
        </is>
      </c>
      <c r="L4" s="3" t="inlineStr">
        <is>
          <t>AÇIKLAMA</t>
        </is>
      </c>
    </row>
    <row r="5" ht="26" customHeight="1">
      <c r="A5" s="4" t="n">
        <v>1</v>
      </c>
      <c r="B5" s="5" t="inlineStr">
        <is>
          <t>Yikim · Söküm Ve Moloz Atma İşleri̇</t>
        </is>
      </c>
      <c r="C5" s="6" t="inlineStr">
        <is>
          <t>MMK / taşeron</t>
        </is>
      </c>
      <c r="D5" s="7" t="inlineStr">
        <is>
          <t>TL</t>
        </is>
      </c>
      <c r="E5" s="8" t="n">
        <v>155794</v>
      </c>
      <c r="F5" s="8" t="n">
        <v>247876</v>
      </c>
      <c r="G5" s="9" t="n"/>
      <c r="H5" s="10" t="n">
        <v>1</v>
      </c>
      <c r="I5" s="11">
        <f>IF(G5=0,"",G5/AVERAGE(E5:F5)-1)</f>
        <v/>
      </c>
      <c r="J5" s="12" t="n"/>
      <c r="K5" s="13">
        <f>G5*H5-J5</f>
        <v/>
      </c>
      <c r="L5" s="14" t="inlineStr">
        <is>
          <t>6 poz · keşif özeti paket A</t>
        </is>
      </c>
    </row>
    <row r="6" ht="26" customHeight="1">
      <c r="A6" s="15" t="n">
        <v>2</v>
      </c>
      <c r="B6" s="16" t="inlineStr">
        <is>
          <t>Bölme Duvar Ve Alçipan İşleri̇</t>
        </is>
      </c>
      <c r="C6" s="17" t="inlineStr">
        <is>
          <t>Alçıpan taşeronu</t>
        </is>
      </c>
      <c r="D6" s="18" t="inlineStr">
        <is>
          <t>TL</t>
        </is>
      </c>
      <c r="E6" s="19" t="n">
        <v>354543</v>
      </c>
      <c r="F6" s="19" t="n">
        <v>450588</v>
      </c>
      <c r="G6" s="9" t="n"/>
      <c r="H6" s="20" t="n">
        <v>1</v>
      </c>
      <c r="I6" s="21">
        <f>IF(G6=0,"",G6/AVERAGE(E6:F6)-1)</f>
        <v/>
      </c>
      <c r="J6" s="12" t="n"/>
      <c r="K6" s="22">
        <f>G6*H6-J6</f>
        <v/>
      </c>
      <c r="L6" s="23" t="inlineStr">
        <is>
          <t>3 poz · keşif özeti paket B</t>
        </is>
      </c>
    </row>
    <row r="7" ht="26" customHeight="1">
      <c r="A7" s="4" t="n">
        <v>3</v>
      </c>
      <c r="B7" s="5" t="inlineStr">
        <is>
          <t>Şap Ve Tesvi̇ye İşleri̇</t>
        </is>
      </c>
      <c r="C7" s="6" t="inlineStr">
        <is>
          <t>Şap taşeronu</t>
        </is>
      </c>
      <c r="D7" s="7" t="inlineStr">
        <is>
          <t>TL</t>
        </is>
      </c>
      <c r="E7" s="8" t="n">
        <v>86050</v>
      </c>
      <c r="F7" s="8" t="n">
        <v>122188</v>
      </c>
      <c r="G7" s="9" t="n"/>
      <c r="H7" s="10" t="n">
        <v>1</v>
      </c>
      <c r="I7" s="11">
        <f>IF(G7=0,"",G7/AVERAGE(E7:F7)-1)</f>
        <v/>
      </c>
      <c r="J7" s="12" t="n"/>
      <c r="K7" s="13">
        <f>G7*H7-J7</f>
        <v/>
      </c>
      <c r="L7" s="14" t="inlineStr">
        <is>
          <t>5 poz · keşif özeti paket C</t>
        </is>
      </c>
    </row>
    <row r="8" ht="26" customHeight="1">
      <c r="A8" s="15" t="n">
        <v>4</v>
      </c>
      <c r="B8" s="16" t="inlineStr">
        <is>
          <t>Zemi̇n Kaplama Ve Süpürgeli̇k İşleri̇</t>
        </is>
      </c>
      <c r="C8" s="17" t="inlineStr">
        <is>
          <t>Kaplama taşeronu</t>
        </is>
      </c>
      <c r="D8" s="18" t="inlineStr">
        <is>
          <t>TL</t>
        </is>
      </c>
      <c r="E8" s="19" t="n">
        <v>254653</v>
      </c>
      <c r="F8" s="19" t="n">
        <v>377585</v>
      </c>
      <c r="G8" s="9" t="n"/>
      <c r="H8" s="20" t="n">
        <v>1</v>
      </c>
      <c r="I8" s="21">
        <f>IF(G8=0,"",G8/AVERAGE(E8:F8)-1)</f>
        <v/>
      </c>
      <c r="J8" s="12" t="n"/>
      <c r="K8" s="22">
        <f>G8*H8-J8</f>
        <v/>
      </c>
      <c r="L8" s="23" t="inlineStr">
        <is>
          <t>9 poz · keşif özeti paket D</t>
        </is>
      </c>
    </row>
    <row r="9" ht="26" customHeight="1">
      <c r="A9" s="4" t="n">
        <v>5</v>
      </c>
      <c r="B9" s="5" t="inlineStr">
        <is>
          <t>Serami̇k Ve Su Yalitimi İşleri̇</t>
        </is>
      </c>
      <c r="C9" s="6" t="inlineStr">
        <is>
          <t>Seramik taşeronu</t>
        </is>
      </c>
      <c r="D9" s="7" t="inlineStr">
        <is>
          <t>TL</t>
        </is>
      </c>
      <c r="E9" s="8" t="n">
        <v>102629</v>
      </c>
      <c r="F9" s="8" t="n">
        <v>152964</v>
      </c>
      <c r="G9" s="9" t="n"/>
      <c r="H9" s="10" t="n">
        <v>1</v>
      </c>
      <c r="I9" s="11">
        <f>IF(G9=0,"",G9/AVERAGE(E9:F9)-1)</f>
        <v/>
      </c>
      <c r="J9" s="12" t="n"/>
      <c r="K9" s="13">
        <f>G9*H9-J9</f>
        <v/>
      </c>
      <c r="L9" s="14" t="inlineStr">
        <is>
          <t>5 poz · keşif özeti paket E</t>
        </is>
      </c>
    </row>
    <row r="10" ht="26" customHeight="1">
      <c r="A10" s="15" t="n">
        <v>6</v>
      </c>
      <c r="B10" s="16" t="inlineStr">
        <is>
          <t>Asma Tavan Ve Boya İşleri̇</t>
        </is>
      </c>
      <c r="C10" s="17" t="inlineStr">
        <is>
          <t>Tavan/boya taşeronu</t>
        </is>
      </c>
      <c r="D10" s="18" t="inlineStr">
        <is>
          <t>TL</t>
        </is>
      </c>
      <c r="E10" s="19" t="n">
        <v>309829</v>
      </c>
      <c r="F10" s="19" t="n">
        <v>466315</v>
      </c>
      <c r="G10" s="9" t="n"/>
      <c r="H10" s="20" t="n">
        <v>1</v>
      </c>
      <c r="I10" s="21">
        <f>IF(G10=0,"",G10/AVERAGE(E10:F10)-1)</f>
        <v/>
      </c>
      <c r="J10" s="12" t="n"/>
      <c r="K10" s="22">
        <f>G10*H10-J10</f>
        <v/>
      </c>
      <c r="L10" s="23" t="inlineStr">
        <is>
          <t>9 poz · keşif özeti paket F</t>
        </is>
      </c>
    </row>
    <row r="11" ht="26" customHeight="1">
      <c r="A11" s="4" t="n">
        <v>7</v>
      </c>
      <c r="B11" s="5" t="inlineStr">
        <is>
          <t>Doğrama, Cam Ve Ayna İşleri̇</t>
        </is>
      </c>
      <c r="C11" s="6" t="inlineStr">
        <is>
          <t>Doğrama taşeronu</t>
        </is>
      </c>
      <c r="D11" s="7" t="inlineStr">
        <is>
          <t>TL</t>
        </is>
      </c>
      <c r="E11" s="8" t="n">
        <v>282732</v>
      </c>
      <c r="F11" s="8" t="n">
        <v>457615</v>
      </c>
      <c r="G11" s="9" t="n"/>
      <c r="H11" s="10" t="n">
        <v>1</v>
      </c>
      <c r="I11" s="11">
        <f>IF(G11=0,"",G11/AVERAGE(E11:F11)-1)</f>
        <v/>
      </c>
      <c r="J11" s="12" t="n"/>
      <c r="K11" s="13">
        <f>G11*H11-J11</f>
        <v/>
      </c>
      <c r="L11" s="14" t="inlineStr">
        <is>
          <t>12 poz · keşif özeti paket G</t>
        </is>
      </c>
    </row>
    <row r="12" ht="26" customHeight="1">
      <c r="A12" s="15" t="n">
        <v>8</v>
      </c>
      <c r="B12" s="16" t="inlineStr">
        <is>
          <t>Sabi̇t Mobi̇lya İşleri̇</t>
        </is>
      </c>
      <c r="C12" s="17" t="inlineStr">
        <is>
          <t>Marangoz</t>
        </is>
      </c>
      <c r="D12" s="18" t="inlineStr">
        <is>
          <t>TL</t>
        </is>
      </c>
      <c r="E12" s="19" t="n">
        <v>173900</v>
      </c>
      <c r="F12" s="19" t="n">
        <v>290500</v>
      </c>
      <c r="G12" s="9" t="n"/>
      <c r="H12" s="20" t="n">
        <v>1</v>
      </c>
      <c r="I12" s="21">
        <f>IF(G12=0,"",G12/AVERAGE(E12:F12)-1)</f>
        <v/>
      </c>
      <c r="J12" s="12" t="n"/>
      <c r="K12" s="22">
        <f>G12*H12-J12</f>
        <v/>
      </c>
      <c r="L12" s="23" t="inlineStr">
        <is>
          <t>5 poz · keşif özeti paket H</t>
        </is>
      </c>
    </row>
    <row r="13" ht="26" customHeight="1">
      <c r="A13" s="4" t="n">
        <v>9</v>
      </c>
      <c r="B13" s="5" t="inlineStr">
        <is>
          <t>Yangin Güvenli̇k Ve İşaretleme</t>
        </is>
      </c>
      <c r="C13" s="6" t="inlineStr">
        <is>
          <t>Yangın firması</t>
        </is>
      </c>
      <c r="D13" s="7" t="inlineStr">
        <is>
          <t>TL</t>
        </is>
      </c>
      <c r="E13" s="8" t="n">
        <v>50750</v>
      </c>
      <c r="F13" s="8" t="n">
        <v>84100</v>
      </c>
      <c r="G13" s="9" t="n"/>
      <c r="H13" s="10" t="n">
        <v>1</v>
      </c>
      <c r="I13" s="11">
        <f>IF(G13=0,"",G13/AVERAGE(E13:F13)-1)</f>
        <v/>
      </c>
      <c r="J13" s="12" t="n"/>
      <c r="K13" s="13">
        <f>G13*H13-J13</f>
        <v/>
      </c>
      <c r="L13" s="14" t="inlineStr">
        <is>
          <t>3 poz · keşif özeti paket I</t>
        </is>
      </c>
    </row>
    <row r="14" ht="26" customHeight="1">
      <c r="A14" s="15" t="n">
        <v>10</v>
      </c>
      <c r="B14" s="16" t="inlineStr">
        <is>
          <t>Şanti̇ye Genel Gi̇derleri̇</t>
        </is>
      </c>
      <c r="C14" s="17" t="inlineStr">
        <is>
          <t>Ana yüklenici</t>
        </is>
      </c>
      <c r="D14" s="18" t="inlineStr">
        <is>
          <t>TL</t>
        </is>
      </c>
      <c r="E14" s="19" t="n">
        <v>324314</v>
      </c>
      <c r="F14" s="19" t="n">
        <v>496873</v>
      </c>
      <c r="G14" s="9" t="n"/>
      <c r="H14" s="20" t="n">
        <v>1</v>
      </c>
      <c r="I14" s="21">
        <f>IF(G14=0,"",G14/AVERAGE(E14:F14)-1)</f>
        <v/>
      </c>
      <c r="J14" s="12" t="n"/>
      <c r="K14" s="22">
        <f>G14*H14-J14</f>
        <v/>
      </c>
      <c r="L14" s="23" t="inlineStr">
        <is>
          <t>4 poz · keşif özeti paket J</t>
        </is>
      </c>
    </row>
    <row r="15" ht="26" customHeight="1">
      <c r="A15" s="4" t="n">
        <v>11</v>
      </c>
      <c r="B15" s="5" t="inlineStr">
        <is>
          <t>Mekanik Tesisat İşleri</t>
        </is>
      </c>
      <c r="C15" s="6" t="inlineStr">
        <is>
          <t>Mekanik taşeronu</t>
        </is>
      </c>
      <c r="D15" s="7" t="inlineStr">
        <is>
          <t>TL</t>
        </is>
      </c>
      <c r="E15" s="8" t="n">
        <v>540728</v>
      </c>
      <c r="F15" s="8" t="n">
        <v>909501</v>
      </c>
      <c r="G15" s="9" t="n"/>
      <c r="H15" s="10" t="n">
        <v>1</v>
      </c>
      <c r="I15" s="11">
        <f>IF(G15=0,"",G15/AVERAGE(E15:F15)-1)</f>
        <v/>
      </c>
      <c r="J15" s="12" t="n"/>
      <c r="K15" s="13">
        <f>G15*H15-J15</f>
        <v/>
      </c>
      <c r="L15" s="14" t="inlineStr">
        <is>
          <t>37 poz · M-01…M-07</t>
        </is>
      </c>
    </row>
    <row r="16" ht="26" customHeight="1">
      <c r="A16" s="15" t="n">
        <v>12</v>
      </c>
      <c r="B16" s="16" t="inlineStr">
        <is>
          <t>Elektrik Tesisat İşleri</t>
        </is>
      </c>
      <c r="C16" s="17" t="inlineStr">
        <is>
          <t>Elektrik taşeronu</t>
        </is>
      </c>
      <c r="D16" s="18" t="inlineStr">
        <is>
          <t>TL</t>
        </is>
      </c>
      <c r="E16" s="19" t="n">
        <v>412220</v>
      </c>
      <c r="F16" s="19" t="n">
        <v>698140</v>
      </c>
      <c r="G16" s="9" t="n"/>
      <c r="H16" s="20" t="n">
        <v>1</v>
      </c>
      <c r="I16" s="21">
        <f>IF(G16=0,"",G16/AVERAGE(E16:F16)-1)</f>
        <v/>
      </c>
      <c r="J16" s="12" t="n"/>
      <c r="K16" s="22">
        <f>G16*H16-J16</f>
        <v/>
      </c>
      <c r="L16" s="23" t="inlineStr">
        <is>
          <t>36 poz · E-01…E-07</t>
        </is>
      </c>
    </row>
    <row r="17" ht="26" customHeight="1">
      <c r="A17" s="4" t="n">
        <v>13</v>
      </c>
      <c r="B17" s="5" t="inlineStr">
        <is>
          <t>Yüklenici Koordinasyon / Genel Gider ve Kâr</t>
        </is>
      </c>
      <c r="C17" s="6" t="inlineStr">
        <is>
          <t>Ana yüklenici</t>
        </is>
      </c>
      <c r="D17" s="7" t="inlineStr">
        <is>
          <t>TL</t>
        </is>
      </c>
      <c r="E17" s="8" t="n">
        <v>548666</v>
      </c>
      <c r="F17" s="8" t="n">
        <v>855764</v>
      </c>
      <c r="G17" s="9" t="n"/>
      <c r="H17" s="10" t="n">
        <v>1</v>
      </c>
      <c r="I17" s="11">
        <f>IF(G17=0,"",G17/AVERAGE(E17:F17)-1)</f>
        <v/>
      </c>
      <c r="J17" s="12" t="n"/>
      <c r="K17" s="13">
        <f>G17*H17-J17</f>
        <v/>
      </c>
      <c r="L17" s="14" t="inlineStr">
        <is>
          <t>İnşaat %20 · MEP %10 (referans proje oranları)</t>
        </is>
      </c>
    </row>
    <row r="18" ht="26" customHeight="1">
      <c r="A18" s="15" t="n">
        <v>14</v>
      </c>
      <c r="B18" s="16" t="inlineStr">
        <is>
          <t>Beklenmedik Giderler Payı</t>
        </is>
      </c>
      <c r="C18" s="17" t="inlineStr">
        <is>
          <t>—</t>
        </is>
      </c>
      <c r="D18" s="18" t="inlineStr">
        <is>
          <t>TL</t>
        </is>
      </c>
      <c r="E18" s="19" t="n">
        <v>539521</v>
      </c>
      <c r="F18" s="19" t="n">
        <v>841501</v>
      </c>
      <c r="G18" s="9" t="n"/>
      <c r="H18" s="20" t="n">
        <v>1</v>
      </c>
      <c r="I18" s="21">
        <f>IF(G18=0,"",G18/AVERAGE(E18:F18)-1)</f>
        <v/>
      </c>
      <c r="J18" s="12" t="n"/>
      <c r="K18" s="22">
        <f>G18*H18-J18</f>
        <v/>
      </c>
      <c r="L18" s="23" t="inlineStr">
        <is>
          <t>%15 · ıslak hacim ve mevcut durum belirsizliği</t>
        </is>
      </c>
    </row>
    <row r="19" ht="26" customHeight="1">
      <c r="A19" s="4" t="n">
        <v>15</v>
      </c>
      <c r="B19" s="5" t="inlineStr">
        <is>
          <t>Mimari Proje Müellifliği ve Ruhsat Dosyası</t>
        </is>
      </c>
      <c r="C19" s="6" t="inlineStr">
        <is>
          <t>Proje müellifi mimar</t>
        </is>
      </c>
      <c r="D19" s="7" t="inlineStr">
        <is>
          <t>TL</t>
        </is>
      </c>
      <c r="E19" s="8" t="n">
        <v>180000</v>
      </c>
      <c r="F19" s="8" t="n">
        <v>320000</v>
      </c>
      <c r="G19" s="9" t="n"/>
      <c r="H19" s="10" t="n">
        <v>1</v>
      </c>
      <c r="I19" s="11">
        <f>IF(G19=0,"",G19/AVERAGE(E19:F19)-1)</f>
        <v/>
      </c>
      <c r="J19" s="12" t="n"/>
      <c r="K19" s="13">
        <f>G19*H19-J19</f>
        <v/>
      </c>
      <c r="L19" s="14" t="inlineStr">
        <is>
          <t>1/50 onaylı takım · ruhsat başvurusu — VARSAYIM</t>
        </is>
      </c>
    </row>
    <row r="20" ht="26" customHeight="1">
      <c r="A20" s="15" t="n">
        <v>16</v>
      </c>
      <c r="B20" s="16" t="inlineStr">
        <is>
          <t>Statik ve Tesisat Proje Onayı</t>
        </is>
      </c>
      <c r="C20" s="17" t="inlineStr">
        <is>
          <t>Mühendislik büroları</t>
        </is>
      </c>
      <c r="D20" s="18" t="inlineStr">
        <is>
          <t>TL</t>
        </is>
      </c>
      <c r="E20" s="19" t="n">
        <v>60000</v>
      </c>
      <c r="F20" s="19" t="n">
        <v>120000</v>
      </c>
      <c r="G20" s="9" t="n"/>
      <c r="H20" s="20" t="n">
        <v>1</v>
      </c>
      <c r="I20" s="21">
        <f>IF(G20=0,"",G20/AVERAGE(E20:F20)-1)</f>
        <v/>
      </c>
      <c r="J20" s="12" t="n"/>
      <c r="K20" s="22">
        <f>G20*H20-J20</f>
        <v/>
      </c>
      <c r="L20" s="23" t="inlineStr">
        <is>
          <t>Gerekirse — VARSAYIM</t>
        </is>
      </c>
    </row>
    <row r="21" ht="26" customHeight="1">
      <c r="A21" s="4" t="n">
        <v>17</v>
      </c>
      <c r="B21" s="5" t="inlineStr">
        <is>
          <t>GSİM Tescil ve Belediye Ruhsat Harçları</t>
        </is>
      </c>
      <c r="C21" s="6" t="inlineStr">
        <is>
          <t>Kamu</t>
        </is>
      </c>
      <c r="D21" s="7" t="inlineStr">
        <is>
          <t>TL</t>
        </is>
      </c>
      <c r="E21" s="8" t="n">
        <v>45000</v>
      </c>
      <c r="F21" s="8" t="n">
        <v>95000</v>
      </c>
      <c r="G21" s="9" t="n"/>
      <c r="H21" s="10" t="n">
        <v>1</v>
      </c>
      <c r="I21" s="11">
        <f>IF(G21=0,"",G21/AVERAGE(E21:F21)-1)</f>
        <v/>
      </c>
      <c r="J21" s="12" t="n"/>
      <c r="K21" s="13">
        <f>G21*H21-J21</f>
        <v/>
      </c>
      <c r="L21" s="14" t="inlineStr">
        <is>
          <t>Harç ve döner sermaye — VARSAYIM, yerinde teyit edilecek</t>
        </is>
      </c>
    </row>
    <row r="22" ht="26" customHeight="1">
      <c r="A22" s="15" t="n">
        <v>18</v>
      </c>
      <c r="B22" s="16" t="inlineStr">
        <is>
          <t>Spor Ekipmanı (ring, istasyon, kardiyo)</t>
        </is>
      </c>
      <c r="C22" s="17" t="inlineStr">
        <is>
          <t>İşverence temin</t>
        </is>
      </c>
      <c r="D22" s="18" t="inlineStr">
        <is>
          <t>EUR</t>
        </is>
      </c>
      <c r="E22" s="19" t="n">
        <v>0</v>
      </c>
      <c r="F22" s="19" t="n">
        <v>0</v>
      </c>
      <c r="G22" s="9" t="n"/>
      <c r="H22" s="24" t="n"/>
      <c r="I22" s="21">
        <f>IF(G22=0,"",G22/AVERAGE(E22:F22)-1)</f>
        <v/>
      </c>
      <c r="J22" s="12" t="n"/>
      <c r="K22" s="22">
        <f>G22*H22-J22</f>
        <v/>
      </c>
      <c r="L22" s="23" t="inlineStr">
        <is>
          <t>İşveren tarafından satın alındı — bütçe dışı</t>
        </is>
      </c>
    </row>
    <row r="23" ht="26" customHeight="1">
      <c r="A23" s="4" t="n">
        <v>19</v>
      </c>
      <c r="B23" s="5" t="inlineStr">
        <is>
          <t>Hareketli Mobilya ve Dekorasyon</t>
        </is>
      </c>
      <c r="C23" s="6" t="inlineStr">
        <is>
          <t>Mobilya firması</t>
        </is>
      </c>
      <c r="D23" s="7" t="inlineStr">
        <is>
          <t>TL</t>
        </is>
      </c>
      <c r="E23" s="8" t="n">
        <v>85000</v>
      </c>
      <c r="F23" s="8" t="n">
        <v>160000</v>
      </c>
      <c r="G23" s="9" t="n"/>
      <c r="H23" s="10" t="n">
        <v>1</v>
      </c>
      <c r="I23" s="11">
        <f>IF(G23=0,"",G23/AVERAGE(E23:F23)-1)</f>
        <v/>
      </c>
      <c r="J23" s="12" t="n"/>
      <c r="K23" s="13">
        <f>G23*H23-J23</f>
        <v/>
      </c>
      <c r="L23" s="14" t="inlineStr">
        <is>
          <t>Oturma grubu, bitki, aksesuar — VARSAYIM</t>
        </is>
      </c>
    </row>
    <row r="24" ht="26" customHeight="1">
      <c r="A24" s="15" t="n">
        <v>20</v>
      </c>
      <c r="B24" s="16" t="inlineStr">
        <is>
          <t>Tabela, Reklam ve Görsel Kimlik</t>
        </is>
      </c>
      <c r="C24" s="17" t="inlineStr">
        <is>
          <t>Reklam firması</t>
        </is>
      </c>
      <c r="D24" s="18" t="inlineStr">
        <is>
          <t>TL</t>
        </is>
      </c>
      <c r="E24" s="19" t="n">
        <v>95000</v>
      </c>
      <c r="F24" s="19" t="n">
        <v>185000</v>
      </c>
      <c r="G24" s="9" t="n"/>
      <c r="H24" s="20" t="n">
        <v>1</v>
      </c>
      <c r="I24" s="21">
        <f>IF(G24=0,"",G24/AVERAGE(E24:F24)-1)</f>
        <v/>
      </c>
      <c r="J24" s="12" t="n"/>
      <c r="K24" s="22">
        <f>G24*H24-J24</f>
        <v/>
      </c>
      <c r="L24" s="23" t="inlineStr">
        <is>
          <t>Cephe tabelası + iç yönlendirme</t>
        </is>
      </c>
    </row>
    <row r="25" ht="26" customHeight="1">
      <c r="A25" s="4" t="n">
        <v>21</v>
      </c>
      <c r="B25" s="5" t="inlineStr">
        <is>
          <t>Sigorta Poliçesi (all-risk)</t>
        </is>
      </c>
      <c r="C25" s="6" t="inlineStr">
        <is>
          <t>Sigorta</t>
        </is>
      </c>
      <c r="D25" s="7" t="inlineStr">
        <is>
          <t>TL</t>
        </is>
      </c>
      <c r="E25" s="8" t="n">
        <v>35000</v>
      </c>
      <c r="F25" s="8" t="n">
        <v>70000</v>
      </c>
      <c r="G25" s="9" t="n"/>
      <c r="H25" s="10" t="n">
        <v>1</v>
      </c>
      <c r="I25" s="11">
        <f>IF(G25=0,"",G25/AVERAGE(E25:F25)-1)</f>
        <v/>
      </c>
      <c r="J25" s="12" t="n"/>
      <c r="K25" s="13">
        <f>G25*H25-J25</f>
        <v/>
      </c>
      <c r="L25" s="14" t="inlineStr">
        <is>
          <t>Tadilat süresi all-risk + 3. şahıs mali mesuliyet</t>
        </is>
      </c>
    </row>
    <row r="26" ht="26" customHeight="1">
      <c r="A26" s="15" t="n">
        <v>22</v>
      </c>
      <c r="B26" s="16" t="inlineStr">
        <is>
          <t>Enerji Aboneliği / Güç Artırımı</t>
        </is>
      </c>
      <c r="C26" s="17" t="inlineStr">
        <is>
          <t>Dağıtım şirketi</t>
        </is>
      </c>
      <c r="D26" s="18" t="inlineStr">
        <is>
          <t>TL</t>
        </is>
      </c>
      <c r="E26" s="19" t="n">
        <v>0</v>
      </c>
      <c r="F26" s="19" t="n">
        <v>0</v>
      </c>
      <c r="G26" s="9" t="n"/>
      <c r="H26" s="20" t="n">
        <v>1</v>
      </c>
      <c r="I26" s="21">
        <f>IF(G26=0,"",G26/AVERAGE(E26:F26)-1)</f>
        <v/>
      </c>
      <c r="J26" s="12" t="n"/>
      <c r="K26" s="22">
        <f>G26*H26-J26</f>
        <v/>
      </c>
      <c r="L26" s="23" t="inlineStr">
        <is>
          <t>BİLİNMİYOR — mevcut pano gücü tespit edilmeden fiyatlanamaz</t>
        </is>
      </c>
    </row>
    <row r="27">
      <c r="A27" s="25" t="inlineStr">
        <is>
          <t>TOPLAM (KDV HARİÇ)</t>
        </is>
      </c>
      <c r="E27" s="26">
        <f>SUM(E5:E26)</f>
        <v/>
      </c>
      <c r="F27" s="26">
        <f>SUM(F5:F26)</f>
        <v/>
      </c>
      <c r="G27" s="26">
        <f>SUM(G5:G26)</f>
        <v/>
      </c>
      <c r="H27" s="27" t="inlineStr"/>
      <c r="I27" s="27" t="inlineStr"/>
      <c r="J27" s="26">
        <f>SUM(J5:J26)</f>
        <v/>
      </c>
      <c r="K27" s="26">
        <f>SUM(K5:K26)</f>
        <v/>
      </c>
      <c r="L27" s="27" t="inlineStr"/>
    </row>
    <row r="28">
      <c r="A28" s="28" t="inlineStr"/>
      <c r="B28" s="29" t="inlineStr">
        <is>
          <t>KDV (%20)</t>
        </is>
      </c>
      <c r="E28" s="30">
        <f>E27*0.20</f>
        <v/>
      </c>
      <c r="F28" s="30">
        <f>F27*0.20</f>
        <v/>
      </c>
      <c r="G28" s="30">
        <f>G27*0.20</f>
        <v/>
      </c>
      <c r="H28" s="31" t="inlineStr"/>
      <c r="I28" s="31" t="inlineStr"/>
      <c r="J28" s="31" t="inlineStr"/>
      <c r="K28" s="31" t="inlineStr"/>
      <c r="L28" s="31" t="inlineStr"/>
    </row>
    <row r="29" ht="22" customHeight="1">
      <c r="A29" s="32" t="inlineStr"/>
      <c r="B29" s="33" t="inlineStr">
        <is>
          <t>GENEL TOPLAM (KDV DÂHİL)</t>
        </is>
      </c>
      <c r="E29" s="34">
        <f>E27+E28</f>
        <v/>
      </c>
      <c r="F29" s="34">
        <f>F27+F28</f>
        <v/>
      </c>
      <c r="G29" s="34">
        <f>G27+G28</f>
        <v/>
      </c>
      <c r="H29" s="32" t="inlineStr"/>
      <c r="I29" s="32" t="inlineStr"/>
      <c r="J29" s="32" t="inlineStr"/>
      <c r="K29" s="32" t="inlineStr"/>
      <c r="L29" s="32" t="inlineStr"/>
    </row>
    <row r="31" ht="28" customHeight="1">
      <c r="A31" s="14" t="inlineStr">
        <is>
          <t>SÖZLEŞME BEDELİ ve ÖDENEN sütunları sözleşmeler imzalandıkça doldurulur; SAPMA sütunu bütçe tahmininin ortalamasına göre otomatik hesaplanır. Yabancı para birimli sözleşmelerde KUR sütununa sözleşme kuru yazılır; KALAN sütunu TL karşılığını verir.</t>
        </is>
      </c>
    </row>
  </sheetData>
  <mergeCells count="6">
    <mergeCell ref="B28:D28"/>
    <mergeCell ref="A2:L2"/>
    <mergeCell ref="A27:D27"/>
    <mergeCell ref="A1:L1"/>
    <mergeCell ref="A31:L31"/>
    <mergeCell ref="B29:D2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4" customHeight="1">
      <c r="A1" s="1" t="inlineStr">
        <is>
          <t>NAKİT AKIŞI  ·  CASH FLOW</t>
        </is>
      </c>
    </row>
    <row r="2" ht="15" customHeight="1">
      <c r="A2" s="2" t="inlineStr">
        <is>
          <t>Program süresi 11.0 hafta — paket bazında hakediş dağılımı (%)</t>
        </is>
      </c>
    </row>
    <row r="4" ht="26" customHeight="1">
      <c r="A4" s="3" t="inlineStr">
        <is>
          <t>SIRA</t>
        </is>
      </c>
      <c r="B4" s="3" t="inlineStr">
        <is>
          <t>UYGULAMA PAKETİ</t>
        </is>
      </c>
      <c r="C4" s="3" t="inlineStr">
        <is>
          <t>BÜTÇE
(orta)</t>
        </is>
      </c>
      <c r="D4" s="3" t="inlineStr">
        <is>
          <t>1. AY</t>
        </is>
      </c>
      <c r="E4" s="3" t="inlineStr">
        <is>
          <t>2. AY</t>
        </is>
      </c>
      <c r="F4" s="3" t="inlineStr">
        <is>
          <t>3. AY</t>
        </is>
      </c>
      <c r="G4" s="3" t="inlineStr">
        <is>
          <t>4. AY</t>
        </is>
      </c>
      <c r="H4" s="3" t="inlineStr">
        <is>
          <t>5. AY</t>
        </is>
      </c>
      <c r="I4" s="3" t="inlineStr">
        <is>
          <t>6. AY</t>
        </is>
      </c>
      <c r="J4" s="3" t="inlineStr">
        <is>
          <t>7. AY</t>
        </is>
      </c>
      <c r="K4" s="3" t="inlineStr">
        <is>
          <t>8. AY</t>
        </is>
      </c>
    </row>
    <row r="5">
      <c r="A5" s="4" t="n">
        <v>1</v>
      </c>
      <c r="B5" s="35" t="inlineStr">
        <is>
          <t>Yikim · Söküm Ve Moloz Atma İşleri̇</t>
        </is>
      </c>
      <c r="C5" s="36" t="n">
        <v>201835</v>
      </c>
      <c r="D5" s="37" t="n"/>
      <c r="E5" s="37" t="n"/>
      <c r="F5" s="37" t="n"/>
      <c r="G5" s="37" t="n"/>
      <c r="H5" s="37" t="n"/>
      <c r="I5" s="37" t="n"/>
      <c r="J5" s="37" t="n"/>
      <c r="K5" s="37" t="n"/>
    </row>
    <row r="6">
      <c r="A6" s="15" t="n">
        <v>2</v>
      </c>
      <c r="B6" s="38" t="inlineStr">
        <is>
          <t>Bölme Duvar Ve Alçipan İşleri̇</t>
        </is>
      </c>
      <c r="C6" s="39" t="n">
        <v>402566</v>
      </c>
      <c r="D6" s="37" t="n"/>
      <c r="E6" s="37" t="n"/>
      <c r="F6" s="37" t="n"/>
      <c r="G6" s="37" t="n"/>
      <c r="H6" s="37" t="n"/>
      <c r="I6" s="37" t="n"/>
      <c r="J6" s="37" t="n"/>
      <c r="K6" s="37" t="n"/>
    </row>
    <row r="7">
      <c r="A7" s="4" t="n">
        <v>3</v>
      </c>
      <c r="B7" s="35" t="inlineStr">
        <is>
          <t>Şap Ve Tesvi̇ye İşleri̇</t>
        </is>
      </c>
      <c r="C7" s="36" t="n">
        <v>104119</v>
      </c>
      <c r="D7" s="37" t="n"/>
      <c r="E7" s="37" t="n"/>
      <c r="F7" s="37" t="n"/>
      <c r="G7" s="37" t="n"/>
      <c r="H7" s="37" t="n"/>
      <c r="I7" s="37" t="n"/>
      <c r="J7" s="37" t="n"/>
      <c r="K7" s="37" t="n"/>
    </row>
    <row r="8">
      <c r="A8" s="15" t="n">
        <v>4</v>
      </c>
      <c r="B8" s="38" t="inlineStr">
        <is>
          <t>Zemi̇n Kaplama Ve Süpürgeli̇k İşleri̇</t>
        </is>
      </c>
      <c r="C8" s="39" t="n">
        <v>316119</v>
      </c>
      <c r="D8" s="37" t="n"/>
      <c r="E8" s="37" t="n"/>
      <c r="F8" s="37" t="n"/>
      <c r="G8" s="37" t="n"/>
      <c r="H8" s="37" t="n"/>
      <c r="I8" s="37" t="n"/>
      <c r="J8" s="37" t="n"/>
      <c r="K8" s="37" t="n"/>
    </row>
    <row r="9">
      <c r="A9" s="4" t="n">
        <v>5</v>
      </c>
      <c r="B9" s="35" t="inlineStr">
        <is>
          <t>Serami̇k Ve Su Yalitimi İşleri̇</t>
        </is>
      </c>
      <c r="C9" s="36" t="n">
        <v>127797</v>
      </c>
      <c r="D9" s="37" t="n"/>
      <c r="E9" s="37" t="n"/>
      <c r="F9" s="37" t="n"/>
      <c r="G9" s="37" t="n"/>
      <c r="H9" s="37" t="n"/>
      <c r="I9" s="37" t="n"/>
      <c r="J9" s="37" t="n"/>
      <c r="K9" s="37" t="n"/>
    </row>
    <row r="10">
      <c r="A10" s="15" t="n">
        <v>6</v>
      </c>
      <c r="B10" s="38" t="inlineStr">
        <is>
          <t>Asma Tavan Ve Boya İşleri̇</t>
        </is>
      </c>
      <c r="C10" s="39" t="n">
        <v>388072</v>
      </c>
      <c r="D10" s="37" t="n"/>
      <c r="E10" s="37" t="n"/>
      <c r="F10" s="37" t="n"/>
      <c r="G10" s="37" t="n"/>
      <c r="H10" s="37" t="n"/>
      <c r="I10" s="37" t="n"/>
      <c r="J10" s="37" t="n"/>
      <c r="K10" s="37" t="n"/>
    </row>
    <row r="11">
      <c r="A11" s="4" t="n">
        <v>7</v>
      </c>
      <c r="B11" s="35" t="inlineStr">
        <is>
          <t>Doğrama, Cam Ve Ayna İşleri̇</t>
        </is>
      </c>
      <c r="C11" s="36" t="n">
        <v>370173</v>
      </c>
      <c r="D11" s="37" t="n"/>
      <c r="E11" s="37" t="n"/>
      <c r="F11" s="37" t="n"/>
      <c r="G11" s="37" t="n"/>
      <c r="H11" s="37" t="n"/>
      <c r="I11" s="37" t="n"/>
      <c r="J11" s="37" t="n"/>
      <c r="K11" s="37" t="n"/>
    </row>
    <row r="12">
      <c r="A12" s="15" t="n">
        <v>8</v>
      </c>
      <c r="B12" s="38" t="inlineStr">
        <is>
          <t>Sabi̇t Mobi̇lya İşleri̇</t>
        </is>
      </c>
      <c r="C12" s="39" t="n">
        <v>232200</v>
      </c>
      <c r="D12" s="37" t="n"/>
      <c r="E12" s="37" t="n"/>
      <c r="F12" s="37" t="n"/>
      <c r="G12" s="37" t="n"/>
      <c r="H12" s="37" t="n"/>
      <c r="I12" s="37" t="n"/>
      <c r="J12" s="37" t="n"/>
      <c r="K12" s="37" t="n"/>
    </row>
    <row r="13">
      <c r="A13" s="4" t="n">
        <v>9</v>
      </c>
      <c r="B13" s="35" t="inlineStr">
        <is>
          <t>Yangin Güvenli̇k Ve İşaretleme</t>
        </is>
      </c>
      <c r="C13" s="36" t="n">
        <v>67425</v>
      </c>
      <c r="D13" s="37" t="n"/>
      <c r="E13" s="37" t="n"/>
      <c r="F13" s="37" t="n"/>
      <c r="G13" s="37" t="n"/>
      <c r="H13" s="37" t="n"/>
      <c r="I13" s="37" t="n"/>
      <c r="J13" s="37" t="n"/>
      <c r="K13" s="37" t="n"/>
    </row>
    <row r="14">
      <c r="A14" s="15" t="n">
        <v>10</v>
      </c>
      <c r="B14" s="38" t="inlineStr">
        <is>
          <t>Şanti̇ye Genel Gi̇derleri̇</t>
        </is>
      </c>
      <c r="C14" s="39" t="n">
        <v>410594</v>
      </c>
      <c r="D14" s="37" t="n"/>
      <c r="E14" s="37" t="n"/>
      <c r="F14" s="37" t="n"/>
      <c r="G14" s="37" t="n"/>
      <c r="H14" s="37" t="n"/>
      <c r="I14" s="37" t="n"/>
      <c r="J14" s="37" t="n"/>
      <c r="K14" s="37" t="n"/>
    </row>
    <row r="15">
      <c r="A15" s="4" t="n">
        <v>11</v>
      </c>
      <c r="B15" s="35" t="inlineStr">
        <is>
          <t>Mekanik Tesisat İşleri</t>
        </is>
      </c>
      <c r="C15" s="36" t="n">
        <v>725114</v>
      </c>
      <c r="D15" s="37" t="n"/>
      <c r="E15" s="37" t="n"/>
      <c r="F15" s="37" t="n"/>
      <c r="G15" s="37" t="n"/>
      <c r="H15" s="37" t="n"/>
      <c r="I15" s="37" t="n"/>
      <c r="J15" s="37" t="n"/>
      <c r="K15" s="37" t="n"/>
    </row>
    <row r="16">
      <c r="A16" s="15" t="n">
        <v>12</v>
      </c>
      <c r="B16" s="38" t="inlineStr">
        <is>
          <t>Elektrik Tesisat İşleri</t>
        </is>
      </c>
      <c r="C16" s="39" t="n">
        <v>555180</v>
      </c>
      <c r="D16" s="37" t="n"/>
      <c r="E16" s="37" t="n"/>
      <c r="F16" s="37" t="n"/>
      <c r="G16" s="37" t="n"/>
      <c r="H16" s="37" t="n"/>
      <c r="I16" s="37" t="n"/>
      <c r="J16" s="37" t="n"/>
      <c r="K16" s="37" t="n"/>
    </row>
    <row r="17">
      <c r="A17" s="4" t="n">
        <v>13</v>
      </c>
      <c r="B17" s="35" t="inlineStr">
        <is>
          <t>Yüklenici Koordinasyon / Genel Gider ve Kâr</t>
        </is>
      </c>
      <c r="C17" s="36" t="n">
        <v>702215</v>
      </c>
      <c r="D17" s="37" t="n"/>
      <c r="E17" s="37" t="n"/>
      <c r="F17" s="37" t="n"/>
      <c r="G17" s="37" t="n"/>
      <c r="H17" s="37" t="n"/>
      <c r="I17" s="37" t="n"/>
      <c r="J17" s="37" t="n"/>
      <c r="K17" s="37" t="n"/>
    </row>
    <row r="18">
      <c r="A18" s="15" t="n">
        <v>14</v>
      </c>
      <c r="B18" s="38" t="inlineStr">
        <is>
          <t>Beklenmedik Giderler Payı</t>
        </is>
      </c>
      <c r="C18" s="39" t="n">
        <v>690511</v>
      </c>
      <c r="D18" s="37" t="n"/>
      <c r="E18" s="37" t="n"/>
      <c r="F18" s="37" t="n"/>
      <c r="G18" s="37" t="n"/>
      <c r="H18" s="37" t="n"/>
      <c r="I18" s="37" t="n"/>
      <c r="J18" s="37" t="n"/>
      <c r="K18" s="37" t="n"/>
    </row>
    <row r="19">
      <c r="A19" s="4" t="n">
        <v>15</v>
      </c>
      <c r="B19" s="35" t="inlineStr">
        <is>
          <t>Mimari Proje Müellifliği ve Ruhsat Dosyası</t>
        </is>
      </c>
      <c r="C19" s="36" t="n">
        <v>250000</v>
      </c>
      <c r="D19" s="37" t="n"/>
      <c r="E19" s="37" t="n"/>
      <c r="F19" s="37" t="n"/>
      <c r="G19" s="37" t="n"/>
      <c r="H19" s="37" t="n"/>
      <c r="I19" s="37" t="n"/>
      <c r="J19" s="37" t="n"/>
      <c r="K19" s="37" t="n"/>
    </row>
    <row r="20">
      <c r="A20" s="15" t="n">
        <v>16</v>
      </c>
      <c r="B20" s="38" t="inlineStr">
        <is>
          <t>Statik ve Tesisat Proje Onayı</t>
        </is>
      </c>
      <c r="C20" s="39" t="n">
        <v>90000</v>
      </c>
      <c r="D20" s="37" t="n"/>
      <c r="E20" s="37" t="n"/>
      <c r="F20" s="37" t="n"/>
      <c r="G20" s="37" t="n"/>
      <c r="H20" s="37" t="n"/>
      <c r="I20" s="37" t="n"/>
      <c r="J20" s="37" t="n"/>
      <c r="K20" s="37" t="n"/>
    </row>
    <row r="21">
      <c r="A21" s="4" t="n">
        <v>17</v>
      </c>
      <c r="B21" s="35" t="inlineStr">
        <is>
          <t>GSİM Tescil ve Belediye Ruhsat Harçları</t>
        </is>
      </c>
      <c r="C21" s="36" t="n">
        <v>70000</v>
      </c>
      <c r="D21" s="37" t="n"/>
      <c r="E21" s="37" t="n"/>
      <c r="F21" s="37" t="n"/>
      <c r="G21" s="37" t="n"/>
      <c r="H21" s="37" t="n"/>
      <c r="I21" s="37" t="n"/>
      <c r="J21" s="37" t="n"/>
      <c r="K21" s="37" t="n"/>
    </row>
    <row r="22">
      <c r="A22" s="15" t="n">
        <v>18</v>
      </c>
      <c r="B22" s="38" t="inlineStr">
        <is>
          <t>Spor Ekipmanı (ring, istasyon, kardiyo)</t>
        </is>
      </c>
      <c r="C22" s="39" t="n">
        <v>0</v>
      </c>
      <c r="D22" s="37" t="n"/>
      <c r="E22" s="37" t="n"/>
      <c r="F22" s="37" t="n"/>
      <c r="G22" s="37" t="n"/>
      <c r="H22" s="37" t="n"/>
      <c r="I22" s="37" t="n"/>
      <c r="J22" s="37" t="n"/>
      <c r="K22" s="37" t="n"/>
    </row>
    <row r="23">
      <c r="A23" s="4" t="n">
        <v>19</v>
      </c>
      <c r="B23" s="35" t="inlineStr">
        <is>
          <t>Hareketli Mobilya ve Dekorasyon</t>
        </is>
      </c>
      <c r="C23" s="36" t="n">
        <v>122500</v>
      </c>
      <c r="D23" s="37" t="n"/>
      <c r="E23" s="37" t="n"/>
      <c r="F23" s="37" t="n"/>
      <c r="G23" s="37" t="n"/>
      <c r="H23" s="37" t="n"/>
      <c r="I23" s="37" t="n"/>
      <c r="J23" s="37" t="n"/>
      <c r="K23" s="37" t="n"/>
    </row>
    <row r="24">
      <c r="A24" s="15" t="n">
        <v>20</v>
      </c>
      <c r="B24" s="38" t="inlineStr">
        <is>
          <t>Tabela, Reklam ve Görsel Kimlik</t>
        </is>
      </c>
      <c r="C24" s="39" t="n">
        <v>140000</v>
      </c>
      <c r="D24" s="37" t="n"/>
      <c r="E24" s="37" t="n"/>
      <c r="F24" s="37" t="n"/>
      <c r="G24" s="37" t="n"/>
      <c r="H24" s="37" t="n"/>
      <c r="I24" s="37" t="n"/>
      <c r="J24" s="37" t="n"/>
      <c r="K24" s="37" t="n"/>
    </row>
    <row r="25">
      <c r="A25" s="4" t="n">
        <v>21</v>
      </c>
      <c r="B25" s="35" t="inlineStr">
        <is>
          <t>Sigorta Poliçesi (all-risk)</t>
        </is>
      </c>
      <c r="C25" s="36" t="n">
        <v>52500</v>
      </c>
      <c r="D25" s="37" t="n"/>
      <c r="E25" s="37" t="n"/>
      <c r="F25" s="37" t="n"/>
      <c r="G25" s="37" t="n"/>
      <c r="H25" s="37" t="n"/>
      <c r="I25" s="37" t="n"/>
      <c r="J25" s="37" t="n"/>
      <c r="K25" s="37" t="n"/>
    </row>
    <row r="26">
      <c r="A26" s="15" t="n">
        <v>22</v>
      </c>
      <c r="B26" s="38" t="inlineStr">
        <is>
          <t>Enerji Aboneliği / Güç Artırımı</t>
        </is>
      </c>
      <c r="C26" s="39" t="n">
        <v>0</v>
      </c>
      <c r="D26" s="37" t="n"/>
      <c r="E26" s="37" t="n"/>
      <c r="F26" s="37" t="n"/>
      <c r="G26" s="37" t="n"/>
      <c r="H26" s="37" t="n"/>
      <c r="I26" s="37" t="n"/>
      <c r="J26" s="37" t="n"/>
      <c r="K26" s="37" t="n"/>
    </row>
    <row r="27">
      <c r="A27" s="40" t="inlineStr">
        <is>
          <t>AYLIK NAKİT İHTİYACI (TL)</t>
        </is>
      </c>
      <c r="C27" s="41">
        <f>SUM(C5:C26)</f>
        <v/>
      </c>
      <c r="D27" s="41">
        <f>SUMPRODUCT($C5:$C26,D5:D26)</f>
        <v/>
      </c>
      <c r="E27" s="41">
        <f>SUMPRODUCT($C5:$C26,E5:E26)</f>
        <v/>
      </c>
      <c r="F27" s="41">
        <f>SUMPRODUCT($C5:$C26,F5:F26)</f>
        <v/>
      </c>
      <c r="G27" s="41">
        <f>SUMPRODUCT($C5:$C26,G5:G26)</f>
        <v/>
      </c>
      <c r="H27" s="41">
        <f>SUMPRODUCT($C5:$C26,H5:H26)</f>
        <v/>
      </c>
      <c r="I27" s="41">
        <f>SUMPRODUCT($C5:$C26,I5:I26)</f>
        <v/>
      </c>
      <c r="J27" s="41">
        <f>SUMPRODUCT($C5:$C26,J5:J26)</f>
        <v/>
      </c>
      <c r="K27" s="41">
        <f>SUMPRODUCT($C5:$C26,K5:K26)</f>
        <v/>
      </c>
    </row>
    <row r="28">
      <c r="A28" s="42" t="inlineStr">
        <is>
          <t>KÜMÜLATİF</t>
        </is>
      </c>
      <c r="C28" s="43" t="inlineStr"/>
      <c r="D28" s="44">
        <f>D27</f>
        <v/>
      </c>
      <c r="E28" s="44">
        <f>D28+E27</f>
        <v/>
      </c>
      <c r="F28" s="44">
        <f>E28+F27</f>
        <v/>
      </c>
      <c r="G28" s="44">
        <f>F28+G27</f>
        <v/>
      </c>
      <c r="H28" s="44">
        <f>G28+H27</f>
        <v/>
      </c>
      <c r="I28" s="44">
        <f>H28+I27</f>
        <v/>
      </c>
      <c r="J28" s="44">
        <f>I28+J27</f>
        <v/>
      </c>
      <c r="K28" s="44">
        <f>J28+K27</f>
        <v/>
      </c>
    </row>
    <row r="30" ht="26" customHeight="1">
      <c r="A30" s="14" t="inlineStr">
        <is>
          <t>Her satırda aylık gerçekleşme yüzdeleri toplamı %100 olmalıdır. Sarı hücreler iş programına göre doldurulur; aylık nakit ihtiyacı ve kümülatif eğri otomatik hesaplanır.</t>
        </is>
      </c>
    </row>
  </sheetData>
  <mergeCells count="5">
    <mergeCell ref="A30:K30"/>
    <mergeCell ref="A28:B28"/>
    <mergeCell ref="A2:K2"/>
    <mergeCell ref="A27:B27"/>
    <mergeCell ref="A1:K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2026-09-18T11:29:02Z</dcterms:created>
  <dcterms:modified xsi:type="dcterms:W3CDTF">2026-09-18T11:29:02Z</dcterms:modified>
</cp:coreProperties>
</file>